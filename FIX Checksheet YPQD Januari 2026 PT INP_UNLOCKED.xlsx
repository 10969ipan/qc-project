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192.168.2.159\Public\9. FILE SHARE PLATING (WAJIB CUT FILE)\2026\"/>
    </mc:Choice>
  </mc:AlternateContent>
  <bookViews>
    <workbookView xWindow="0" yWindow="0" windowWidth="23753" windowHeight="8729" tabRatio="664"/>
  </bookViews>
  <sheets>
    <sheet name="CS YPQD 2026 QC Incoming" sheetId="16" r:id="rId1"/>
    <sheet name="Checksheet YPQD 2026 PROD" sheetId="15" r:id="rId2"/>
    <sheet name="Checksheet YPQD 2026 FORM" sheetId="13" state="hidden" r:id="rId3"/>
    <sheet name="Summary (Final Level)" sheetId="14" r:id="rId4"/>
    <sheet name="Value" sheetId="12" r:id="rId5"/>
  </sheets>
  <definedNames>
    <definedName name="GMS" localSheetId="0">#REF!</definedName>
    <definedName name="GMS">#REF!</definedName>
    <definedName name="OK" localSheetId="0">#REF!</definedName>
    <definedName name="OK">#REF!</definedName>
    <definedName name="_xlnm.Print_Area" localSheetId="2">'Checksheet YPQD 2026 FORM'!$A$1:$R$104</definedName>
    <definedName name="_xlnm.Print_Area" localSheetId="1">'Checksheet YPQD 2026 PROD'!$A$1:$R$104</definedName>
    <definedName name="_xlnm.Print_Area" localSheetId="0">'CS YPQD 2026 QC Incoming'!$A$1:$R$104</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90" i="16" l="1"/>
  <c r="N90" i="16"/>
  <c r="K90" i="16"/>
  <c r="H90" i="16"/>
  <c r="E90" i="16"/>
  <c r="Q89" i="16"/>
  <c r="N89" i="16"/>
  <c r="K89" i="16"/>
  <c r="H89" i="16"/>
  <c r="E89" i="16"/>
  <c r="Q54" i="16"/>
  <c r="N54" i="16"/>
  <c r="K54" i="16"/>
  <c r="H54" i="16"/>
  <c r="E54" i="16"/>
  <c r="Q53" i="16"/>
  <c r="N53" i="16"/>
  <c r="K53" i="16"/>
  <c r="H53" i="16"/>
  <c r="E53" i="16"/>
  <c r="Q41" i="16"/>
  <c r="N41" i="16"/>
  <c r="K41" i="16"/>
  <c r="H41" i="16"/>
  <c r="E41" i="16"/>
  <c r="Q40" i="16"/>
  <c r="N40" i="16"/>
  <c r="K40" i="16"/>
  <c r="H40" i="16"/>
  <c r="E40" i="16"/>
  <c r="Q20" i="16"/>
  <c r="N20" i="16"/>
  <c r="K20" i="16"/>
  <c r="H20" i="16"/>
  <c r="E20" i="16"/>
  <c r="R15" i="16" s="1"/>
  <c r="R95" i="16" s="1"/>
  <c r="Q19" i="16"/>
  <c r="N19" i="16"/>
  <c r="K19" i="16"/>
  <c r="H19" i="16"/>
  <c r="E19" i="16"/>
  <c r="Q9" i="16"/>
  <c r="N9" i="16"/>
  <c r="K9" i="16"/>
  <c r="H9" i="16"/>
  <c r="E9" i="16"/>
  <c r="Q8" i="16"/>
  <c r="N8" i="16"/>
  <c r="K8" i="16"/>
  <c r="H8" i="16"/>
  <c r="E8" i="16"/>
  <c r="R87" i="16" l="1"/>
  <c r="R98" i="16" s="1"/>
  <c r="R51" i="16"/>
  <c r="R97" i="16" s="1"/>
  <c r="R36" i="16"/>
  <c r="R96" i="16" s="1"/>
  <c r="R4" i="16"/>
  <c r="R102" i="16" s="1"/>
  <c r="R94" i="16" l="1"/>
  <c r="R100" i="16"/>
  <c r="H4" i="14" l="1"/>
  <c r="Q90" i="15" l="1"/>
  <c r="N90" i="15"/>
  <c r="K90" i="15"/>
  <c r="H90" i="15"/>
  <c r="E90" i="15"/>
  <c r="R87" i="15" s="1"/>
  <c r="R98" i="15" s="1"/>
  <c r="Q89" i="15"/>
  <c r="N89" i="15"/>
  <c r="K89" i="15"/>
  <c r="H89" i="15"/>
  <c r="E89" i="15"/>
  <c r="Q54" i="15"/>
  <c r="N54" i="15"/>
  <c r="K54" i="15"/>
  <c r="H54" i="15"/>
  <c r="R51" i="15" s="1"/>
  <c r="R97" i="15" s="1"/>
  <c r="E54" i="15"/>
  <c r="Q53" i="15"/>
  <c r="N53" i="15"/>
  <c r="K53" i="15"/>
  <c r="H53" i="15"/>
  <c r="E53" i="15"/>
  <c r="Q41" i="15"/>
  <c r="N41" i="15"/>
  <c r="K41" i="15"/>
  <c r="H41" i="15"/>
  <c r="E41" i="15"/>
  <c r="Q40" i="15"/>
  <c r="N40" i="15"/>
  <c r="K40" i="15"/>
  <c r="H40" i="15"/>
  <c r="E40" i="15"/>
  <c r="Q20" i="15"/>
  <c r="N20" i="15"/>
  <c r="R15" i="15" s="1"/>
  <c r="R95" i="15" s="1"/>
  <c r="K20" i="15"/>
  <c r="H20" i="15"/>
  <c r="E20" i="15"/>
  <c r="Q19" i="15"/>
  <c r="N19" i="15"/>
  <c r="K19" i="15"/>
  <c r="H19" i="15"/>
  <c r="E19" i="15"/>
  <c r="Q9" i="15"/>
  <c r="N9" i="15"/>
  <c r="K9" i="15"/>
  <c r="H9" i="15"/>
  <c r="E9" i="15"/>
  <c r="Q8" i="15"/>
  <c r="N8" i="15"/>
  <c r="K8" i="15"/>
  <c r="H8" i="15"/>
  <c r="E8" i="15"/>
  <c r="R36" i="15" l="1"/>
  <c r="R96" i="15" s="1"/>
  <c r="R4" i="15"/>
  <c r="R94" i="15" s="1"/>
  <c r="R102" i="15" l="1"/>
  <c r="R100" i="15"/>
  <c r="H5" i="14" l="1"/>
  <c r="H6" i="14"/>
  <c r="H7" i="14"/>
  <c r="H8" i="14"/>
  <c r="R98" i="13"/>
  <c r="R97" i="13"/>
  <c r="R96" i="13"/>
  <c r="R95" i="13"/>
  <c r="I4" i="14" l="1"/>
  <c r="J4" i="14"/>
  <c r="Q89" i="13"/>
  <c r="Q90" i="13"/>
  <c r="N90" i="13"/>
  <c r="N89" i="13"/>
  <c r="K90" i="13"/>
  <c r="K89" i="13"/>
  <c r="H90" i="13"/>
  <c r="H89" i="13"/>
  <c r="E89" i="13"/>
  <c r="E90" i="13"/>
  <c r="R87" i="13" s="1"/>
  <c r="R51" i="13"/>
  <c r="R36" i="13"/>
  <c r="N53" i="13"/>
  <c r="Q54" i="13"/>
  <c r="Q53" i="13"/>
  <c r="N54" i="13"/>
  <c r="K54" i="13"/>
  <c r="K53" i="13"/>
  <c r="H54" i="13"/>
  <c r="H53" i="13"/>
  <c r="E54" i="13"/>
  <c r="E53" i="13"/>
  <c r="E40" i="13"/>
  <c r="Q41" i="13"/>
  <c r="N41" i="13"/>
  <c r="K41" i="13"/>
  <c r="H41" i="13"/>
  <c r="E41" i="13"/>
  <c r="Q40" i="13"/>
  <c r="N40" i="13"/>
  <c r="K40" i="13"/>
  <c r="H40" i="13"/>
  <c r="Q20" i="13"/>
  <c r="Q19" i="13"/>
  <c r="N20" i="13"/>
  <c r="N19" i="13"/>
  <c r="K20" i="13"/>
  <c r="K19" i="13"/>
  <c r="H20" i="13"/>
  <c r="H19" i="13"/>
  <c r="E19" i="13"/>
  <c r="E20" i="13"/>
  <c r="R15" i="13" s="1"/>
  <c r="Q9" i="13"/>
  <c r="Q8" i="13"/>
  <c r="N9" i="13"/>
  <c r="N8" i="13"/>
  <c r="K9" i="13"/>
  <c r="K8" i="13"/>
  <c r="H9" i="13"/>
  <c r="H8" i="13"/>
  <c r="E9" i="13"/>
  <c r="E8" i="13"/>
  <c r="R4" i="13" l="1"/>
  <c r="R100" i="13" l="1"/>
  <c r="R94" i="13"/>
  <c r="R102" i="13"/>
</calcChain>
</file>

<file path=xl/sharedStrings.xml><?xml version="1.0" encoding="utf-8"?>
<sst xmlns="http://schemas.openxmlformats.org/spreadsheetml/2006/main" count="933" uniqueCount="158">
  <si>
    <t>Principle</t>
  </si>
  <si>
    <t>Level 1</t>
  </si>
  <si>
    <t>Level 2</t>
  </si>
  <si>
    <t>Level 3</t>
  </si>
  <si>
    <t>Level 4</t>
  </si>
  <si>
    <t>Level 5</t>
  </si>
  <si>
    <t>MSK</t>
  </si>
  <si>
    <t>KT</t>
  </si>
  <si>
    <t>PNG</t>
  </si>
  <si>
    <t>PSSP</t>
  </si>
  <si>
    <t>KAO</t>
  </si>
  <si>
    <t>Point</t>
  </si>
  <si>
    <t>-</t>
  </si>
  <si>
    <t>No.</t>
  </si>
  <si>
    <t>Point Check</t>
  </si>
  <si>
    <t>Guidance Penilaian</t>
  </si>
  <si>
    <t>Apakah ada WI/SOP yang jelas untuk masing-masing shop dan masing-masing proses?</t>
  </si>
  <si>
    <t>Apakah ada Identifikasi yang jelas untuk identitas part?</t>
  </si>
  <si>
    <t>Alat Kerja / Support yang ditentukan sudah dilengkapi</t>
  </si>
  <si>
    <t>Ada Chekchseet untuk mencatat hasil kerja</t>
  </si>
  <si>
    <r>
      <t xml:space="preserve">1. Terdapat </t>
    </r>
    <r>
      <rPr>
        <b/>
        <sz val="14"/>
        <color theme="1"/>
        <rFont val="Aptos Narrow"/>
        <family val="2"/>
        <scheme val="minor"/>
      </rPr>
      <t>Jig Hitung</t>
    </r>
    <r>
      <rPr>
        <sz val="14"/>
        <color theme="1"/>
        <rFont val="Aptos Narrow"/>
        <family val="2"/>
        <scheme val="minor"/>
      </rPr>
      <t xml:space="preserve"> / </t>
    </r>
    <r>
      <rPr>
        <b/>
        <sz val="14"/>
        <color theme="1"/>
        <rFont val="Aptos Narrow"/>
        <family val="2"/>
        <scheme val="minor"/>
      </rPr>
      <t>Timbangan</t>
    </r>
    <r>
      <rPr>
        <sz val="14"/>
        <color theme="1"/>
        <rFont val="Aptos Narrow"/>
        <family val="2"/>
        <scheme val="minor"/>
      </rPr>
      <t xml:space="preserve"> untuk menggaransi </t>
    </r>
    <r>
      <rPr>
        <i/>
        <sz val="14"/>
        <color theme="1"/>
        <rFont val="Aptos Narrow"/>
        <family val="2"/>
        <scheme val="minor"/>
      </rPr>
      <t>quantity</t>
    </r>
    <r>
      <rPr>
        <sz val="14"/>
        <color theme="1"/>
        <rFont val="Aptos Narrow"/>
        <family val="2"/>
        <scheme val="minor"/>
      </rPr>
      <t xml:space="preserve">
2. Terdapat </t>
    </r>
    <r>
      <rPr>
        <b/>
        <sz val="14"/>
        <color theme="1"/>
        <rFont val="Aptos Narrow"/>
        <family val="2"/>
        <scheme val="minor"/>
      </rPr>
      <t>Printer</t>
    </r>
    <r>
      <rPr>
        <sz val="14"/>
        <color theme="1"/>
        <rFont val="Aptos Narrow"/>
        <family val="2"/>
        <scheme val="minor"/>
      </rPr>
      <t xml:space="preserve"> untuk print label part/supplier
3. Terdapat </t>
    </r>
    <r>
      <rPr>
        <b/>
        <sz val="14"/>
        <color theme="1"/>
        <rFont val="Aptos Narrow"/>
        <family val="2"/>
        <scheme val="minor"/>
      </rPr>
      <t>scanner</t>
    </r>
    <r>
      <rPr>
        <sz val="14"/>
        <color theme="1"/>
        <rFont val="Aptos Narrow"/>
        <family val="2"/>
        <scheme val="minor"/>
      </rPr>
      <t xml:space="preserve"> untuk scan barcode
4. </t>
    </r>
    <r>
      <rPr>
        <b/>
        <sz val="14"/>
        <color theme="1"/>
        <rFont val="Aptos Narrow"/>
        <family val="2"/>
        <scheme val="minor"/>
      </rPr>
      <t>Katalog</t>
    </r>
    <r>
      <rPr>
        <sz val="14"/>
        <color theme="1"/>
        <rFont val="Aptos Narrow"/>
        <family val="2"/>
        <scheme val="minor"/>
      </rPr>
      <t xml:space="preserve"> untuk verifikasi label supplier dengan </t>
    </r>
    <r>
      <rPr>
        <i/>
        <sz val="14"/>
        <color theme="1"/>
        <rFont val="Aptos Narrow"/>
        <family val="2"/>
        <scheme val="minor"/>
      </rPr>
      <t xml:space="preserve">actual </t>
    </r>
    <r>
      <rPr>
        <sz val="14"/>
        <color theme="1"/>
        <rFont val="Aptos Narrow"/>
        <family val="2"/>
        <scheme val="minor"/>
      </rPr>
      <t xml:space="preserve">part
5. </t>
    </r>
    <r>
      <rPr>
        <b/>
        <sz val="14"/>
        <color theme="1"/>
        <rFont val="Aptos Narrow"/>
        <family val="2"/>
        <scheme val="minor"/>
      </rPr>
      <t>Jig</t>
    </r>
    <r>
      <rPr>
        <sz val="14"/>
        <color theme="1"/>
        <rFont val="Aptos Narrow"/>
        <family val="2"/>
        <scheme val="minor"/>
      </rPr>
      <t xml:space="preserve"> atau </t>
    </r>
    <r>
      <rPr>
        <b/>
        <sz val="14"/>
        <color theme="1"/>
        <rFont val="Aptos Narrow"/>
        <family val="2"/>
        <scheme val="minor"/>
      </rPr>
      <t>Alat Pokayoke</t>
    </r>
    <r>
      <rPr>
        <sz val="14"/>
        <color theme="1"/>
        <rFont val="Aptos Narrow"/>
        <family val="2"/>
        <scheme val="minor"/>
      </rPr>
      <t xml:space="preserve"> untuk menangani </t>
    </r>
    <r>
      <rPr>
        <b/>
        <i/>
        <sz val="14"/>
        <color theme="1"/>
        <rFont val="Aptos Narrow"/>
        <family val="2"/>
        <scheme val="minor"/>
      </rPr>
      <t xml:space="preserve">similar </t>
    </r>
    <r>
      <rPr>
        <b/>
        <sz val="14"/>
        <color theme="1"/>
        <rFont val="Aptos Narrow"/>
        <family val="2"/>
        <scheme val="minor"/>
      </rPr>
      <t>part</t>
    </r>
    <r>
      <rPr>
        <sz val="14"/>
        <color theme="1"/>
        <rFont val="Aptos Narrow"/>
        <family val="2"/>
        <scheme val="minor"/>
      </rPr>
      <t xml:space="preserve">
5. </t>
    </r>
    <r>
      <rPr>
        <b/>
        <sz val="14"/>
        <color theme="1"/>
        <rFont val="Aptos Narrow"/>
        <family val="2"/>
        <scheme val="minor"/>
      </rPr>
      <t>Komputer</t>
    </r>
    <r>
      <rPr>
        <sz val="14"/>
        <color theme="1"/>
        <rFont val="Aptos Narrow"/>
        <family val="2"/>
        <scheme val="minor"/>
      </rPr>
      <t xml:space="preserve"> / </t>
    </r>
    <r>
      <rPr>
        <b/>
        <sz val="14"/>
        <color theme="1"/>
        <rFont val="Aptos Narrow"/>
        <family val="2"/>
        <scheme val="minor"/>
      </rPr>
      <t>PC</t>
    </r>
    <r>
      <rPr>
        <sz val="14"/>
        <color theme="1"/>
        <rFont val="Aptos Narrow"/>
        <family val="2"/>
        <scheme val="minor"/>
      </rPr>
      <t xml:space="preserve"> untuk record data hasil scan/hasil cek
6. </t>
    </r>
    <r>
      <rPr>
        <b/>
        <sz val="14"/>
        <color theme="1"/>
        <rFont val="Aptos Narrow"/>
        <family val="2"/>
        <scheme val="minor"/>
      </rPr>
      <t>Label Part</t>
    </r>
    <r>
      <rPr>
        <sz val="14"/>
        <color theme="1"/>
        <rFont val="Aptos Narrow"/>
        <family val="2"/>
        <scheme val="minor"/>
      </rPr>
      <t xml:space="preserve"> yang </t>
    </r>
    <r>
      <rPr>
        <b/>
        <sz val="14"/>
        <color theme="1"/>
        <rFont val="Aptos Narrow"/>
        <family val="2"/>
        <scheme val="minor"/>
      </rPr>
      <t>sesuai</t>
    </r>
    <r>
      <rPr>
        <sz val="14"/>
        <color theme="1"/>
        <rFont val="Aptos Narrow"/>
        <family val="2"/>
        <scheme val="minor"/>
      </rPr>
      <t xml:space="preserve">
7. List Packing Standard (</t>
    </r>
    <r>
      <rPr>
        <b/>
        <sz val="14"/>
        <color theme="1"/>
        <rFont val="Aptos Narrow"/>
        <family val="2"/>
        <scheme val="minor"/>
      </rPr>
      <t>PAF</t>
    </r>
    <r>
      <rPr>
        <sz val="14"/>
        <color theme="1"/>
        <rFont val="Aptos Narrow"/>
        <family val="2"/>
        <scheme val="minor"/>
      </rPr>
      <t>)</t>
    </r>
  </si>
  <si>
    <t>Apakah Member memahami dan bisa menjelaskan WI/SOP yang tertera?</t>
  </si>
  <si>
    <t>Apakah Member paham bagaimana cara menggunakan checksheet?</t>
  </si>
  <si>
    <r>
      <t xml:space="preserve">1. WI </t>
    </r>
    <r>
      <rPr>
        <b/>
        <sz val="14"/>
        <color theme="1"/>
        <rFont val="Aptos Narrow"/>
        <family val="2"/>
        <scheme val="minor"/>
      </rPr>
      <t>sesuai</t>
    </r>
    <r>
      <rPr>
        <sz val="14"/>
        <color theme="1"/>
        <rFont val="Aptos Narrow"/>
        <family val="2"/>
        <scheme val="minor"/>
      </rPr>
      <t xml:space="preserve"> dengan pekerjaanya (part no. dan part name sesuai)
2. WI dalam kondisi </t>
    </r>
    <r>
      <rPr>
        <b/>
        <sz val="14"/>
        <color theme="1"/>
        <rFont val="Aptos Narrow"/>
        <family val="2"/>
        <scheme val="minor"/>
      </rPr>
      <t>updated</t>
    </r>
    <r>
      <rPr>
        <sz val="14"/>
        <color theme="1"/>
        <rFont val="Aptos Narrow"/>
        <family val="2"/>
        <scheme val="minor"/>
      </rPr>
      <t xml:space="preserve">
3. WI </t>
    </r>
    <r>
      <rPr>
        <b/>
        <sz val="14"/>
        <color theme="1"/>
        <rFont val="Aptos Narrow"/>
        <family val="2"/>
        <scheme val="minor"/>
      </rPr>
      <t>tidak ada coretan</t>
    </r>
    <r>
      <rPr>
        <sz val="14"/>
        <color theme="1"/>
        <rFont val="Aptos Narrow"/>
        <family val="2"/>
        <scheme val="minor"/>
      </rPr>
      <t xml:space="preserve">
4. WI ada </t>
    </r>
    <r>
      <rPr>
        <b/>
        <sz val="14"/>
        <color theme="1"/>
        <rFont val="Aptos Narrow"/>
        <family val="2"/>
        <scheme val="minor"/>
      </rPr>
      <t>approval atasan</t>
    </r>
    <r>
      <rPr>
        <sz val="14"/>
        <color theme="1"/>
        <rFont val="Aptos Narrow"/>
        <family val="2"/>
        <scheme val="minor"/>
      </rPr>
      <t xml:space="preserve">
5. Ada </t>
    </r>
    <r>
      <rPr>
        <b/>
        <sz val="14"/>
        <color theme="1"/>
        <rFont val="Aptos Narrow"/>
        <family val="2"/>
        <scheme val="minor"/>
      </rPr>
      <t>Detail</t>
    </r>
    <r>
      <rPr>
        <sz val="14"/>
        <color theme="1"/>
        <rFont val="Aptos Narrow"/>
        <family val="2"/>
        <scheme val="minor"/>
      </rPr>
      <t xml:space="preserve"> Standard Proses Garansi Delivery:
    - Verifikasi Label/Kanban Supplier dengan </t>
    </r>
    <r>
      <rPr>
        <b/>
        <i/>
        <sz val="14"/>
        <color theme="1"/>
        <rFont val="Aptos Narrow"/>
        <family val="2"/>
        <scheme val="minor"/>
      </rPr>
      <t xml:space="preserve">actual </t>
    </r>
    <r>
      <rPr>
        <b/>
        <sz val="14"/>
        <color theme="1"/>
        <rFont val="Aptos Narrow"/>
        <family val="2"/>
        <scheme val="minor"/>
      </rPr>
      <t xml:space="preserve">part dan Verifikasi Dokumen (Label/Kanban Supplier) dengan Item Card YIMM
</t>
    </r>
    <r>
      <rPr>
        <sz val="14"/>
        <color theme="1"/>
        <rFont val="Aptos Narrow"/>
        <family val="2"/>
        <scheme val="minor"/>
      </rPr>
      <t xml:space="preserve">    - Aturan </t>
    </r>
    <r>
      <rPr>
        <b/>
        <sz val="14"/>
        <color theme="1"/>
        <rFont val="Aptos Narrow"/>
        <family val="2"/>
        <scheme val="minor"/>
      </rPr>
      <t>Handling Label</t>
    </r>
    <r>
      <rPr>
        <sz val="14"/>
        <color theme="1"/>
        <rFont val="Aptos Narrow"/>
        <family val="2"/>
        <scheme val="minor"/>
      </rPr>
      <t xml:space="preserve"> (Detail </t>
    </r>
    <r>
      <rPr>
        <b/>
        <sz val="14"/>
        <color theme="1"/>
        <rFont val="Aptos Narrow"/>
        <family val="2"/>
        <scheme val="minor"/>
      </rPr>
      <t>PIC</t>
    </r>
    <r>
      <rPr>
        <sz val="14"/>
        <color theme="1"/>
        <rFont val="Aptos Narrow"/>
        <family val="2"/>
        <scheme val="minor"/>
      </rPr>
      <t xml:space="preserve">, </t>
    </r>
    <r>
      <rPr>
        <b/>
        <sz val="14"/>
        <color theme="1"/>
        <rFont val="Aptos Narrow"/>
        <family val="2"/>
        <scheme val="minor"/>
      </rPr>
      <t>Detail proses</t>
    </r>
    <r>
      <rPr>
        <sz val="14"/>
        <color theme="1"/>
        <rFont val="Aptos Narrow"/>
        <family val="2"/>
        <scheme val="minor"/>
      </rPr>
      <t xml:space="preserve"> dari </t>
    </r>
    <r>
      <rPr>
        <b/>
        <sz val="14"/>
        <color theme="1"/>
        <rFont val="Aptos Narrow"/>
        <family val="2"/>
        <scheme val="minor"/>
      </rPr>
      <t>print</t>
    </r>
    <r>
      <rPr>
        <sz val="14"/>
        <color theme="1"/>
        <rFont val="Aptos Narrow"/>
        <family val="2"/>
        <scheme val="minor"/>
      </rPr>
      <t xml:space="preserve"> sampai </t>
    </r>
    <r>
      <rPr>
        <b/>
        <sz val="14"/>
        <color theme="1"/>
        <rFont val="Aptos Narrow"/>
        <family val="2"/>
        <scheme val="minor"/>
      </rPr>
      <t>distribusi</t>
    </r>
    <r>
      <rPr>
        <sz val="14"/>
        <color theme="1"/>
        <rFont val="Aptos Narrow"/>
        <family val="2"/>
        <scheme val="minor"/>
      </rPr>
      <t xml:space="preserve"> dan </t>
    </r>
    <r>
      <rPr>
        <b/>
        <sz val="14"/>
        <color theme="1"/>
        <rFont val="Aptos Narrow"/>
        <family val="2"/>
        <scheme val="minor"/>
      </rPr>
      <t>penggunaan label</t>
    </r>
    <r>
      <rPr>
        <sz val="14"/>
        <color theme="1"/>
        <rFont val="Aptos Narrow"/>
        <family val="2"/>
        <scheme val="minor"/>
      </rPr>
      <t xml:space="preserve">, hingga </t>
    </r>
    <r>
      <rPr>
        <b/>
        <sz val="14"/>
        <color theme="1"/>
        <rFont val="Aptos Narrow"/>
        <family val="2"/>
        <scheme val="minor"/>
      </rPr>
      <t>penanganan sisa label</t>
    </r>
    <r>
      <rPr>
        <sz val="14"/>
        <color theme="1"/>
        <rFont val="Aptos Narrow"/>
        <family val="2"/>
        <scheme val="minor"/>
      </rPr>
      <t xml:space="preserve">)
    - Penanganan </t>
    </r>
    <r>
      <rPr>
        <b/>
        <sz val="14"/>
        <color theme="1"/>
        <rFont val="Aptos Narrow"/>
        <family val="2"/>
        <scheme val="minor"/>
      </rPr>
      <t>Dandori</t>
    </r>
    <r>
      <rPr>
        <sz val="14"/>
        <color theme="1"/>
        <rFont val="Aptos Narrow"/>
        <family val="2"/>
        <scheme val="minor"/>
      </rPr>
      <t xml:space="preserve"> : </t>
    </r>
    <r>
      <rPr>
        <b/>
        <sz val="14"/>
        <color theme="1"/>
        <rFont val="Aptos Narrow"/>
        <family val="2"/>
        <scheme val="minor"/>
      </rPr>
      <t>clear area</t>
    </r>
    <r>
      <rPr>
        <sz val="14"/>
        <color theme="1"/>
        <rFont val="Aptos Narrow"/>
        <family val="2"/>
        <scheme val="minor"/>
      </rPr>
      <t xml:space="preserve"> dari </t>
    </r>
    <r>
      <rPr>
        <b/>
        <sz val="14"/>
        <color theme="1"/>
        <rFont val="Aptos Narrow"/>
        <family val="2"/>
        <scheme val="minor"/>
      </rPr>
      <t>part</t>
    </r>
    <r>
      <rPr>
        <sz val="14"/>
        <color theme="1"/>
        <rFont val="Aptos Narrow"/>
        <family val="2"/>
        <scheme val="minor"/>
      </rPr>
      <t xml:space="preserve">, </t>
    </r>
    <r>
      <rPr>
        <b/>
        <sz val="14"/>
        <color theme="1"/>
        <rFont val="Aptos Narrow"/>
        <family val="2"/>
        <scheme val="minor"/>
      </rPr>
      <t>checksheet</t>
    </r>
    <r>
      <rPr>
        <sz val="14"/>
        <color theme="1"/>
        <rFont val="Aptos Narrow"/>
        <family val="2"/>
        <scheme val="minor"/>
      </rPr>
      <t xml:space="preserve">, ataupun </t>
    </r>
    <r>
      <rPr>
        <b/>
        <sz val="14"/>
        <color theme="1"/>
        <rFont val="Aptos Narrow"/>
        <family val="2"/>
        <scheme val="minor"/>
      </rPr>
      <t>label</t>
    </r>
    <r>
      <rPr>
        <sz val="14"/>
        <color theme="1"/>
        <rFont val="Aptos Narrow"/>
        <family val="2"/>
        <scheme val="minor"/>
      </rPr>
      <t xml:space="preserve"> dari </t>
    </r>
    <r>
      <rPr>
        <b/>
        <sz val="14"/>
        <color theme="1"/>
        <rFont val="Aptos Narrow"/>
        <family val="2"/>
        <scheme val="minor"/>
      </rPr>
      <t>model sebelumnya</t>
    </r>
    <r>
      <rPr>
        <sz val="14"/>
        <color theme="1"/>
        <rFont val="Aptos Narrow"/>
        <family val="2"/>
        <scheme val="minor"/>
      </rPr>
      <t xml:space="preserve">
    - Verifikasi </t>
    </r>
    <r>
      <rPr>
        <b/>
        <i/>
        <sz val="14"/>
        <color theme="1"/>
        <rFont val="Aptos Narrow"/>
        <family val="2"/>
        <scheme val="minor"/>
      </rPr>
      <t>quantity</t>
    </r>
    <r>
      <rPr>
        <sz val="14"/>
        <color theme="1"/>
        <rFont val="Aptos Narrow"/>
        <family val="2"/>
        <scheme val="minor"/>
      </rPr>
      <t xml:space="preserve"> sesuai dengan </t>
    </r>
    <r>
      <rPr>
        <b/>
        <sz val="14"/>
        <color theme="1"/>
        <rFont val="Aptos Narrow"/>
        <family val="2"/>
        <scheme val="minor"/>
      </rPr>
      <t>packing standard</t>
    </r>
    <r>
      <rPr>
        <sz val="14"/>
        <color theme="1"/>
        <rFont val="Aptos Narrow"/>
        <family val="2"/>
        <scheme val="minor"/>
      </rPr>
      <t xml:space="preserve">
    - Rules Pencatatan </t>
    </r>
    <r>
      <rPr>
        <b/>
        <sz val="14"/>
        <color theme="1"/>
        <rFont val="Aptos Narrow"/>
        <family val="2"/>
        <scheme val="minor"/>
      </rPr>
      <t xml:space="preserve">Stock </t>
    </r>
    <r>
      <rPr>
        <sz val="14"/>
        <color theme="1"/>
        <rFont val="Aptos Narrow"/>
        <family val="2"/>
        <scheme val="minor"/>
      </rPr>
      <t>dan</t>
    </r>
    <r>
      <rPr>
        <b/>
        <sz val="14"/>
        <color theme="1"/>
        <rFont val="Aptos Narrow"/>
        <family val="2"/>
        <scheme val="minor"/>
      </rPr>
      <t xml:space="preserve"> FIFO</t>
    </r>
    <r>
      <rPr>
        <sz val="14"/>
        <color theme="1"/>
        <rFont val="Aptos Narrow"/>
        <family val="2"/>
        <scheme val="minor"/>
      </rPr>
      <t xml:space="preserve">
    - Garansi </t>
    </r>
    <r>
      <rPr>
        <b/>
        <sz val="14"/>
        <color theme="1"/>
        <rFont val="Aptos Narrow"/>
        <family val="2"/>
        <scheme val="minor"/>
      </rPr>
      <t>6T</t>
    </r>
  </si>
  <si>
    <r>
      <t xml:space="preserve">1. Terdapat Acuan Standard di checksheet, contoh: List Part dan </t>
    </r>
    <r>
      <rPr>
        <i/>
        <sz val="14"/>
        <color theme="1"/>
        <rFont val="Aptos Narrow"/>
        <family val="2"/>
        <scheme val="minor"/>
      </rPr>
      <t xml:space="preserve">quantity </t>
    </r>
    <r>
      <rPr>
        <sz val="14"/>
        <color theme="1"/>
        <rFont val="Aptos Narrow"/>
        <family val="2"/>
        <scheme val="minor"/>
      </rPr>
      <t xml:space="preserve">Produksi / Inspeksi / Picking
2. Terdapat checksheet </t>
    </r>
    <r>
      <rPr>
        <b/>
        <sz val="14"/>
        <color theme="1"/>
        <rFont val="Aptos Narrow"/>
        <family val="2"/>
        <scheme val="minor"/>
      </rPr>
      <t>pencatatan hasil kerja Operator</t>
    </r>
    <r>
      <rPr>
        <sz val="14"/>
        <color theme="1"/>
        <rFont val="Aptos Narrow"/>
        <family val="2"/>
        <scheme val="minor"/>
      </rPr>
      <t xml:space="preserve">
3. Terdapat checksheet </t>
    </r>
    <r>
      <rPr>
        <b/>
        <sz val="14"/>
        <color theme="1"/>
        <rFont val="Aptos Narrow"/>
        <family val="2"/>
        <scheme val="minor"/>
      </rPr>
      <t xml:space="preserve">pengecekan Operator oleh Leader
</t>
    </r>
    <r>
      <rPr>
        <sz val="14"/>
        <color theme="1"/>
        <rFont val="Aptos Narrow"/>
        <family val="2"/>
        <scheme val="minor"/>
      </rPr>
      <t xml:space="preserve">4. Ada </t>
    </r>
    <r>
      <rPr>
        <b/>
        <sz val="14"/>
        <color theme="1"/>
        <rFont val="Aptos Narrow"/>
        <family val="2"/>
        <scheme val="minor"/>
      </rPr>
      <t>Detail</t>
    </r>
    <r>
      <rPr>
        <sz val="14"/>
        <color theme="1"/>
        <rFont val="Aptos Narrow"/>
        <family val="2"/>
        <scheme val="minor"/>
      </rPr>
      <t xml:space="preserve"> Standard Proses Garansi Delivery:
    - Operator memberikan </t>
    </r>
    <r>
      <rPr>
        <b/>
        <sz val="14"/>
        <color theme="1"/>
        <rFont val="Aptos Narrow"/>
        <family val="2"/>
        <scheme val="minor"/>
      </rPr>
      <t>marking</t>
    </r>
    <r>
      <rPr>
        <sz val="14"/>
        <color theme="1"/>
        <rFont val="Aptos Narrow"/>
        <family val="2"/>
        <scheme val="minor"/>
      </rPr>
      <t xml:space="preserve"> di checksheet dan atau di label (marking telah dicek sesuai </t>
    </r>
    <r>
      <rPr>
        <i/>
        <sz val="14"/>
        <color theme="1"/>
        <rFont val="Aptos Narrow"/>
        <family val="2"/>
        <scheme val="minor"/>
      </rPr>
      <t xml:space="preserve">quantity </t>
    </r>
    <r>
      <rPr>
        <sz val="14"/>
        <color theme="1"/>
        <rFont val="Aptos Narrow"/>
        <family val="2"/>
        <scheme val="minor"/>
      </rPr>
      <t>dan kesesuaian part)</t>
    </r>
  </si>
  <si>
    <r>
      <t xml:space="preserve">1. Operator paham jika </t>
    </r>
    <r>
      <rPr>
        <b/>
        <sz val="14"/>
        <color theme="1"/>
        <rFont val="Aptos Narrow"/>
        <family val="2"/>
        <scheme val="minor"/>
      </rPr>
      <t>harus melihat acuan standard</t>
    </r>
    <r>
      <rPr>
        <sz val="14"/>
        <color theme="1"/>
        <rFont val="Aptos Narrow"/>
        <family val="2"/>
        <scheme val="minor"/>
      </rPr>
      <t xml:space="preserve"> yang ada di checksheet terlebih dahulu sebelum menggunakanya
2. Operator paham </t>
    </r>
    <r>
      <rPr>
        <b/>
        <sz val="14"/>
        <color theme="1"/>
        <rFont val="Aptos Narrow"/>
        <family val="2"/>
        <scheme val="minor"/>
      </rPr>
      <t xml:space="preserve">untuk mencatat hasil kerja / memberikan marking </t>
    </r>
    <r>
      <rPr>
        <sz val="14"/>
        <color theme="1"/>
        <rFont val="Aptos Narrow"/>
        <family val="2"/>
        <scheme val="minor"/>
      </rPr>
      <t xml:space="preserve">jika telah melakukan proses
3. Leader </t>
    </r>
    <r>
      <rPr>
        <b/>
        <sz val="14"/>
        <color theme="1"/>
        <rFont val="Aptos Narrow"/>
        <family val="2"/>
        <scheme val="minor"/>
      </rPr>
      <t>paham</t>
    </r>
    <r>
      <rPr>
        <sz val="14"/>
        <color theme="1"/>
        <rFont val="Aptos Narrow"/>
        <family val="2"/>
        <scheme val="minor"/>
      </rPr>
      <t xml:space="preserve"> dan </t>
    </r>
    <r>
      <rPr>
        <b/>
        <sz val="14"/>
        <color theme="1"/>
        <rFont val="Aptos Narrow"/>
        <family val="2"/>
        <scheme val="minor"/>
      </rPr>
      <t>bisa menjelaskan bagaimana</t>
    </r>
    <r>
      <rPr>
        <sz val="14"/>
        <color theme="1"/>
        <rFont val="Aptos Narrow"/>
        <family val="2"/>
        <scheme val="minor"/>
      </rPr>
      <t xml:space="preserve"> mengecek hasil kerja Operator</t>
    </r>
  </si>
  <si>
    <t>Apakah Member paham jika Alat Kerja wajib dicek terlebih dahulu sebelum bekerja?</t>
  </si>
  <si>
    <r>
      <t xml:space="preserve">1. Operator </t>
    </r>
    <r>
      <rPr>
        <b/>
        <sz val="14"/>
        <color theme="1"/>
        <rFont val="Aptos Narrow"/>
        <family val="2"/>
        <scheme val="minor"/>
      </rPr>
      <t>mengetahui WI/SOP</t>
    </r>
    <r>
      <rPr>
        <sz val="14"/>
        <color theme="1"/>
        <rFont val="Aptos Narrow"/>
        <family val="2"/>
        <scheme val="minor"/>
      </rPr>
      <t xml:space="preserve"> yang tertera
2. Operator </t>
    </r>
    <r>
      <rPr>
        <b/>
        <sz val="14"/>
        <color theme="1"/>
        <rFont val="Aptos Narrow"/>
        <family val="2"/>
        <scheme val="minor"/>
      </rPr>
      <t>bisa memahami</t>
    </r>
    <r>
      <rPr>
        <sz val="14"/>
        <color theme="1"/>
        <rFont val="Aptos Narrow"/>
        <family val="2"/>
        <scheme val="minor"/>
      </rPr>
      <t xml:space="preserve"> dan </t>
    </r>
    <r>
      <rPr>
        <b/>
        <sz val="14"/>
        <color theme="1"/>
        <rFont val="Aptos Narrow"/>
        <family val="2"/>
        <scheme val="minor"/>
      </rPr>
      <t>menjelaskan</t>
    </r>
    <r>
      <rPr>
        <sz val="14"/>
        <color theme="1"/>
        <rFont val="Aptos Narrow"/>
        <family val="2"/>
        <scheme val="minor"/>
      </rPr>
      <t xml:space="preserve"> keseluruhan WI/SOP yang tertera, metode:
    - </t>
    </r>
    <r>
      <rPr>
        <b/>
        <sz val="14"/>
        <color theme="1"/>
        <rFont val="Aptos Narrow"/>
        <family val="2"/>
        <scheme val="minor"/>
      </rPr>
      <t>Menanyakan</t>
    </r>
    <r>
      <rPr>
        <sz val="14"/>
        <color theme="1"/>
        <rFont val="Aptos Narrow"/>
        <family val="2"/>
        <scheme val="minor"/>
      </rPr>
      <t xml:space="preserve"> ke Operator </t>
    </r>
    <r>
      <rPr>
        <b/>
        <sz val="14"/>
        <color theme="1"/>
        <rFont val="Aptos Narrow"/>
        <family val="2"/>
        <scheme val="minor"/>
      </rPr>
      <t>Setelah</t>
    </r>
    <r>
      <rPr>
        <sz val="14"/>
        <color theme="1"/>
        <rFont val="Aptos Narrow"/>
        <family val="2"/>
        <scheme val="minor"/>
      </rPr>
      <t xml:space="preserve"> menyelesaikan </t>
    </r>
    <r>
      <rPr>
        <b/>
        <sz val="14"/>
        <color theme="1"/>
        <rFont val="Aptos Narrow"/>
        <family val="2"/>
        <scheme val="minor"/>
      </rPr>
      <t>kerja 1 cycle</t>
    </r>
    <r>
      <rPr>
        <sz val="14"/>
        <color theme="1"/>
        <rFont val="Aptos Narrow"/>
        <family val="2"/>
        <scheme val="minor"/>
      </rPr>
      <t xml:space="preserve">
3. Telah </t>
    </r>
    <r>
      <rPr>
        <b/>
        <sz val="14"/>
        <color theme="1"/>
        <rFont val="Aptos Narrow"/>
        <family val="2"/>
        <scheme val="minor"/>
      </rPr>
      <t>dilakukan edukasi</t>
    </r>
    <r>
      <rPr>
        <sz val="14"/>
        <color theme="1"/>
        <rFont val="Aptos Narrow"/>
        <family val="2"/>
        <scheme val="minor"/>
      </rPr>
      <t xml:space="preserve"> ke Operator terkait, dengan terlampir:
a. Edukasi Teori:
    - </t>
    </r>
    <r>
      <rPr>
        <b/>
        <sz val="14"/>
        <color theme="1"/>
        <rFont val="Aptos Narrow"/>
        <family val="2"/>
        <scheme val="minor"/>
      </rPr>
      <t>Materi Edukasi</t>
    </r>
    <r>
      <rPr>
        <sz val="14"/>
        <color theme="1"/>
        <rFont val="Aptos Narrow"/>
        <family val="2"/>
        <scheme val="minor"/>
      </rPr>
      <t xml:space="preserve">
    - </t>
    </r>
    <r>
      <rPr>
        <b/>
        <sz val="14"/>
        <color theme="1"/>
        <rFont val="Aptos Narrow"/>
        <family val="2"/>
        <scheme val="minor"/>
      </rPr>
      <t>Bukti Hadir</t>
    </r>
    <r>
      <rPr>
        <sz val="14"/>
        <color theme="1"/>
        <rFont val="Aptos Narrow"/>
        <family val="2"/>
        <scheme val="minor"/>
      </rPr>
      <t xml:space="preserve">
    - </t>
    </r>
    <r>
      <rPr>
        <b/>
        <sz val="14"/>
        <color theme="1"/>
        <rFont val="Aptos Narrow"/>
        <family val="2"/>
        <scheme val="minor"/>
      </rPr>
      <t>Tanda tangan</t>
    </r>
    <r>
      <rPr>
        <sz val="14"/>
        <color theme="1"/>
        <rFont val="Aptos Narrow"/>
        <family val="2"/>
        <scheme val="minor"/>
      </rPr>
      <t xml:space="preserve"> Operator
    - </t>
    </r>
    <r>
      <rPr>
        <b/>
        <sz val="14"/>
        <color theme="1"/>
        <rFont val="Aptos Narrow"/>
        <family val="2"/>
        <scheme val="minor"/>
      </rPr>
      <t>Soal</t>
    </r>
    <r>
      <rPr>
        <sz val="14"/>
        <color theme="1"/>
        <rFont val="Aptos Narrow"/>
        <family val="2"/>
        <scheme val="minor"/>
      </rPr>
      <t xml:space="preserve"> / </t>
    </r>
    <r>
      <rPr>
        <b/>
        <sz val="14"/>
        <color theme="1"/>
        <rFont val="Aptos Narrow"/>
        <family val="2"/>
        <scheme val="minor"/>
      </rPr>
      <t>Test</t>
    </r>
    <r>
      <rPr>
        <sz val="14"/>
        <color theme="1"/>
        <rFont val="Aptos Narrow"/>
        <family val="2"/>
        <scheme val="minor"/>
      </rPr>
      <t xml:space="preserve"> Edukasi
    - </t>
    </r>
    <r>
      <rPr>
        <b/>
        <sz val="14"/>
        <color theme="1"/>
        <rFont val="Aptos Narrow"/>
        <family val="2"/>
        <scheme val="minor"/>
      </rPr>
      <t>Record</t>
    </r>
    <r>
      <rPr>
        <sz val="14"/>
        <color theme="1"/>
        <rFont val="Aptos Narrow"/>
        <family val="2"/>
        <scheme val="minor"/>
      </rPr>
      <t xml:space="preserve"> Edukasi
    - </t>
    </r>
    <r>
      <rPr>
        <b/>
        <sz val="14"/>
        <color theme="1"/>
        <rFont val="Aptos Narrow"/>
        <family val="2"/>
        <scheme val="minor"/>
      </rPr>
      <t>Hasil</t>
    </r>
    <r>
      <rPr>
        <sz val="14"/>
        <color theme="1"/>
        <rFont val="Aptos Narrow"/>
        <family val="2"/>
        <scheme val="minor"/>
      </rPr>
      <t xml:space="preserve"> Evaluasi (Nilai / Score)
    - Planning Edukasi </t>
    </r>
    <r>
      <rPr>
        <b/>
        <sz val="14"/>
        <color theme="1"/>
        <rFont val="Aptos Narrow"/>
        <family val="2"/>
        <scheme val="minor"/>
      </rPr>
      <t>berkala</t>
    </r>
    <r>
      <rPr>
        <sz val="14"/>
        <color theme="1"/>
        <rFont val="Aptos Narrow"/>
        <family val="2"/>
        <scheme val="minor"/>
      </rPr>
      <t xml:space="preserve">
b. Edukasi Praktek (OJT):
    - </t>
    </r>
    <r>
      <rPr>
        <b/>
        <sz val="14"/>
        <color theme="1"/>
        <rFont val="Aptos Narrow"/>
        <family val="2"/>
        <scheme val="minor"/>
      </rPr>
      <t>Materi</t>
    </r>
    <r>
      <rPr>
        <sz val="14"/>
        <color theme="1"/>
        <rFont val="Aptos Narrow"/>
        <family val="2"/>
        <scheme val="minor"/>
      </rPr>
      <t xml:space="preserve"> dan </t>
    </r>
    <r>
      <rPr>
        <b/>
        <sz val="14"/>
        <color theme="1"/>
        <rFont val="Aptos Narrow"/>
        <family val="2"/>
        <scheme val="minor"/>
      </rPr>
      <t>Checksheet</t>
    </r>
    <r>
      <rPr>
        <sz val="14"/>
        <color theme="1"/>
        <rFont val="Aptos Narrow"/>
        <family val="2"/>
        <scheme val="minor"/>
      </rPr>
      <t xml:space="preserve"> OJT
    - </t>
    </r>
    <r>
      <rPr>
        <b/>
        <sz val="14"/>
        <color theme="1"/>
        <rFont val="Aptos Narrow"/>
        <family val="2"/>
        <scheme val="minor"/>
      </rPr>
      <t>Hasil</t>
    </r>
    <r>
      <rPr>
        <sz val="14"/>
        <color theme="1"/>
        <rFont val="Aptos Narrow"/>
        <family val="2"/>
        <scheme val="minor"/>
      </rPr>
      <t xml:space="preserve"> Observasi/Evaluasi (Nilai / Score) oleh Leader
    - Refreshment OJT </t>
    </r>
    <r>
      <rPr>
        <b/>
        <sz val="14"/>
        <color theme="1"/>
        <rFont val="Aptos Narrow"/>
        <family val="2"/>
        <scheme val="minor"/>
      </rPr>
      <t>berkala</t>
    </r>
  </si>
  <si>
    <r>
      <t xml:space="preserve">1. Member </t>
    </r>
    <r>
      <rPr>
        <b/>
        <sz val="14"/>
        <color theme="1"/>
        <rFont val="Aptos Narrow"/>
        <family val="2"/>
        <scheme val="minor"/>
      </rPr>
      <t>terbiasa</t>
    </r>
    <r>
      <rPr>
        <sz val="14"/>
        <color theme="1"/>
        <rFont val="Aptos Narrow"/>
        <family val="2"/>
        <scheme val="minor"/>
      </rPr>
      <t xml:space="preserve"> untuk mengecek identitas part / label dengan </t>
    </r>
    <r>
      <rPr>
        <b/>
        <sz val="14"/>
        <color theme="1"/>
        <rFont val="Aptos Narrow"/>
        <family val="2"/>
        <scheme val="minor"/>
      </rPr>
      <t>14 digit</t>
    </r>
    <r>
      <rPr>
        <sz val="14"/>
        <color theme="1"/>
        <rFont val="Aptos Narrow"/>
        <family val="2"/>
        <scheme val="minor"/>
      </rPr>
      <t xml:space="preserve"> part number YIMM (</t>
    </r>
    <r>
      <rPr>
        <b/>
        <sz val="14"/>
        <color theme="1"/>
        <rFont val="Aptos Narrow"/>
        <family val="2"/>
        <scheme val="minor"/>
      </rPr>
      <t>tidak hanya 10 digit</t>
    </r>
    <r>
      <rPr>
        <sz val="14"/>
        <color theme="1"/>
        <rFont val="Aptos Narrow"/>
        <family val="2"/>
        <scheme val="minor"/>
      </rPr>
      <t xml:space="preserve">)
2. Member </t>
    </r>
    <r>
      <rPr>
        <b/>
        <i/>
        <sz val="14"/>
        <color theme="1"/>
        <rFont val="Aptos Narrow"/>
        <family val="2"/>
        <scheme val="minor"/>
      </rPr>
      <t>concern</t>
    </r>
    <r>
      <rPr>
        <i/>
        <sz val="14"/>
        <color theme="1"/>
        <rFont val="Aptos Narrow"/>
        <family val="2"/>
        <scheme val="minor"/>
      </rPr>
      <t xml:space="preserve"> </t>
    </r>
    <r>
      <rPr>
        <sz val="14"/>
        <color theme="1"/>
        <rFont val="Aptos Narrow"/>
        <family val="2"/>
        <scheme val="minor"/>
      </rPr>
      <t xml:space="preserve">untuk make sure jika part number/name </t>
    </r>
    <r>
      <rPr>
        <b/>
        <sz val="14"/>
        <color theme="1"/>
        <rFont val="Aptos Narrow"/>
        <family val="2"/>
        <scheme val="minor"/>
      </rPr>
      <t>similar</t>
    </r>
    <r>
      <rPr>
        <sz val="14"/>
        <color theme="1"/>
        <rFont val="Aptos Narrow"/>
        <family val="2"/>
        <scheme val="minor"/>
      </rPr>
      <t xml:space="preserve">
3. Member paham terkait pentingnya </t>
    </r>
    <r>
      <rPr>
        <i/>
        <sz val="14"/>
        <color theme="1"/>
        <rFont val="Aptos Narrow"/>
        <family val="2"/>
        <scheme val="minor"/>
      </rPr>
      <t>preventive wrong supply problem</t>
    </r>
  </si>
  <si>
    <t>Apakah Member paham terhadap identitas part?</t>
  </si>
  <si>
    <t>1. Operator mengisi checksheet sesuai dengan aturan
2. Frekuensi Operator mengisi checksheet sesuai dengan waktu yang telah ditentukan
Metode Penilaian: 
1. Melihat record checkseet
2. Melihat operator/PIC pengecekan melakukan sampling pengecekan terhadap checksheet yang ada</t>
  </si>
  <si>
    <r>
      <t xml:space="preserve">Apakah Member selalu concern untuk selalu </t>
    </r>
    <r>
      <rPr>
        <i/>
        <sz val="14"/>
        <color theme="1"/>
        <rFont val="Aptos Narrow"/>
        <family val="2"/>
        <scheme val="minor"/>
      </rPr>
      <t xml:space="preserve">aware </t>
    </r>
    <r>
      <rPr>
        <sz val="14"/>
        <color theme="1"/>
        <rFont val="Aptos Narrow"/>
        <family val="2"/>
        <scheme val="minor"/>
      </rPr>
      <t>terhadap identitas part?</t>
    </r>
  </si>
  <si>
    <t>Apakah Member mengisi checksheet / hasil kerja sesuai standard?</t>
  </si>
  <si>
    <t>Apakah Member sudah menyiapkan Alat Kerja dan Apakah Alat kerja nya sudah sesuai dengan WI/SOP yang ada?</t>
  </si>
  <si>
    <t>Apakah Member menjalankan pekerjaan sesuai dengan WI/SOP yang tertera?
(Operator dan leader)</t>
  </si>
  <si>
    <r>
      <t xml:space="preserve">Operator menjalankan urutan kerja </t>
    </r>
    <r>
      <rPr>
        <b/>
        <sz val="14"/>
        <color theme="1"/>
        <rFont val="Aptos Narrow"/>
        <family val="2"/>
        <scheme val="minor"/>
      </rPr>
      <t>berdasarkan WI</t>
    </r>
    <r>
      <rPr>
        <sz val="14"/>
        <color theme="1"/>
        <rFont val="Aptos Narrow"/>
        <family val="2"/>
        <scheme val="minor"/>
      </rPr>
      <t xml:space="preserve">/SOP yang tertera 
</t>
    </r>
    <r>
      <rPr>
        <b/>
        <sz val="14"/>
        <color theme="1"/>
        <rFont val="Aptos Narrow"/>
        <family val="2"/>
        <scheme val="minor"/>
      </rPr>
      <t>Metode Cek Operator:</t>
    </r>
    <r>
      <rPr>
        <sz val="14"/>
        <color theme="1"/>
        <rFont val="Aptos Narrow"/>
        <family val="2"/>
        <scheme val="minor"/>
      </rPr>
      <t xml:space="preserve">
Dilakukan pengecekan dengan membawa WI dan dilihat poin by poin </t>
    </r>
    <r>
      <rPr>
        <i/>
        <sz val="14"/>
        <color theme="1"/>
        <rFont val="Aptos Narrow"/>
        <family val="2"/>
        <scheme val="minor"/>
      </rPr>
      <t>(menunggu Aktivitas pekerjaan operator sedang berhenti/ selesai 1 cycle)</t>
    </r>
    <r>
      <rPr>
        <sz val="14"/>
        <color theme="1"/>
        <rFont val="Aptos Narrow"/>
        <family val="2"/>
        <scheme val="minor"/>
      </rPr>
      <t xml:space="preserve">
</t>
    </r>
    <r>
      <rPr>
        <b/>
        <sz val="14"/>
        <color theme="1"/>
        <rFont val="Aptos Narrow"/>
        <family val="2"/>
        <scheme val="minor"/>
      </rPr>
      <t>Metode Cek Leader:</t>
    </r>
    <r>
      <rPr>
        <sz val="14"/>
        <color theme="1"/>
        <rFont val="Aptos Narrow"/>
        <family val="2"/>
        <scheme val="minor"/>
      </rPr>
      <t xml:space="preserve">
1. Terdapat schedule pengecekan ke operator (jika dalam hari Atasan tidak bisa melakukan pengecekan ke semua operator)
2. Dilihat hasil pengecekan aktual oleh atasan (berdasarkan checksheet yang ada)
3. Apabila ada abnormal/temuan dari hasil pengecekan maka dilakukan action dan record</t>
    </r>
  </si>
  <si>
    <r>
      <t xml:space="preserve">1. Member paham jika harus </t>
    </r>
    <r>
      <rPr>
        <b/>
        <sz val="14"/>
        <color theme="1"/>
        <rFont val="Aptos Narrow"/>
        <family val="2"/>
        <scheme val="minor"/>
      </rPr>
      <t>mengecek</t>
    </r>
    <r>
      <rPr>
        <sz val="14"/>
        <color theme="1"/>
        <rFont val="Aptos Narrow"/>
        <family val="2"/>
        <scheme val="minor"/>
      </rPr>
      <t xml:space="preserve"> alat kerja sebelum bekerja
2. Member paham apabila kondisi alat kerja </t>
    </r>
    <r>
      <rPr>
        <b/>
        <sz val="14"/>
        <color theme="1"/>
        <rFont val="Aptos Narrow"/>
        <family val="2"/>
        <scheme val="minor"/>
      </rPr>
      <t>tidak lengkap</t>
    </r>
    <r>
      <rPr>
        <sz val="14"/>
        <color theme="1"/>
        <rFont val="Aptos Narrow"/>
        <family val="2"/>
        <scheme val="minor"/>
      </rPr>
      <t xml:space="preserve">, maka </t>
    </r>
    <r>
      <rPr>
        <b/>
        <sz val="14"/>
        <color theme="1"/>
        <rFont val="Aptos Narrow"/>
        <family val="2"/>
        <scheme val="minor"/>
      </rPr>
      <t>tidak boleh mulai bekerja</t>
    </r>
    <r>
      <rPr>
        <sz val="14"/>
        <color theme="1"/>
        <rFont val="Aptos Narrow"/>
        <family val="2"/>
        <scheme val="minor"/>
      </rPr>
      <t xml:space="preserve">
3. Member paham cara menggunakan Alat Kerja / Support</t>
    </r>
  </si>
  <si>
    <r>
      <rPr>
        <b/>
        <sz val="14"/>
        <color theme="1"/>
        <rFont val="Aptos Narrow"/>
        <family val="2"/>
        <scheme val="minor"/>
      </rPr>
      <t>Kondisi Alat Kerja / Support</t>
    </r>
    <r>
      <rPr>
        <sz val="14"/>
        <color theme="1"/>
        <rFont val="Aptos Narrow"/>
        <family val="2"/>
        <scheme val="minor"/>
      </rPr>
      <t>:
1. Telah tersedia dan disiapkan oleh Operator sebelum bekerja
2. Baik dan terkalibrasi
3. Digunakan sesuai aturan</t>
    </r>
  </si>
  <si>
    <t>Apakah terdapat review secara periodical untuk preventive terhadap penanganan masalah dari ketidaksesuaian proses kerja / adanya problem?</t>
  </si>
  <si>
    <t>All Member melakukan:
1. Review secara periodical / perbaikan berkelanjutan untuk level up
2. Ada record problem weekly / monthly dan ada planning action untuk review perbaikan</t>
  </si>
  <si>
    <r>
      <t xml:space="preserve">1. Terdapat </t>
    </r>
    <r>
      <rPr>
        <b/>
        <sz val="14"/>
        <color theme="1"/>
        <rFont val="Aptos Narrow"/>
        <family val="2"/>
        <scheme val="minor"/>
      </rPr>
      <t>identitas</t>
    </r>
    <r>
      <rPr>
        <sz val="14"/>
        <color theme="1"/>
        <rFont val="Aptos Narrow"/>
        <family val="2"/>
        <scheme val="minor"/>
      </rPr>
      <t xml:space="preserve"> yang jelas </t>
    </r>
    <r>
      <rPr>
        <b/>
        <sz val="14"/>
        <color theme="1"/>
        <rFont val="Aptos Narrow"/>
        <family val="2"/>
        <scheme val="minor"/>
      </rPr>
      <t>di Lokasi</t>
    </r>
    <r>
      <rPr>
        <sz val="14"/>
        <color theme="1"/>
        <rFont val="Aptos Narrow"/>
        <family val="2"/>
        <scheme val="minor"/>
      </rPr>
      <t xml:space="preserve"> / </t>
    </r>
    <r>
      <rPr>
        <b/>
        <sz val="14"/>
        <color theme="1"/>
        <rFont val="Aptos Narrow"/>
        <family val="2"/>
        <scheme val="minor"/>
      </rPr>
      <t>Label</t>
    </r>
    <r>
      <rPr>
        <sz val="14"/>
        <color theme="1"/>
        <rFont val="Aptos Narrow"/>
        <family val="2"/>
        <scheme val="minor"/>
      </rPr>
      <t xml:space="preserve"> di Part
2. Identitas part harus jelas (Cth: </t>
    </r>
    <r>
      <rPr>
        <b/>
        <sz val="14"/>
        <color theme="1"/>
        <rFont val="Aptos Narrow"/>
        <family val="2"/>
        <scheme val="minor"/>
      </rPr>
      <t>14 digit</t>
    </r>
    <r>
      <rPr>
        <sz val="14"/>
        <color theme="1"/>
        <rFont val="Aptos Narrow"/>
        <family val="2"/>
        <scheme val="minor"/>
      </rPr>
      <t xml:space="preserve"> part number YIMM)
3. Ada </t>
    </r>
    <r>
      <rPr>
        <b/>
        <sz val="14"/>
        <color theme="1"/>
        <rFont val="Aptos Narrow"/>
        <family val="2"/>
        <scheme val="minor"/>
      </rPr>
      <t>Detail</t>
    </r>
    <r>
      <rPr>
        <sz val="14"/>
        <color theme="1"/>
        <rFont val="Aptos Narrow"/>
        <family val="2"/>
        <scheme val="minor"/>
      </rPr>
      <t xml:space="preserve"> Standard Proses Garansi Delivery:
    - Verifikasi / Pemastian </t>
    </r>
    <r>
      <rPr>
        <b/>
        <sz val="14"/>
        <color theme="1"/>
        <rFont val="Aptos Narrow"/>
        <family val="2"/>
        <scheme val="minor"/>
      </rPr>
      <t>Addressing</t>
    </r>
    <r>
      <rPr>
        <sz val="14"/>
        <color theme="1"/>
        <rFont val="Aptos Narrow"/>
        <family val="2"/>
        <scheme val="minor"/>
      </rPr>
      <t xml:space="preserve"> dengan </t>
    </r>
    <r>
      <rPr>
        <i/>
        <sz val="14"/>
        <color theme="1"/>
        <rFont val="Aptos Narrow"/>
        <family val="2"/>
        <scheme val="minor"/>
      </rPr>
      <t xml:space="preserve">actual </t>
    </r>
    <r>
      <rPr>
        <sz val="14"/>
        <color theme="1"/>
        <rFont val="Aptos Narrow"/>
        <family val="2"/>
        <scheme val="minor"/>
      </rPr>
      <t>part / label part / YIMM item card</t>
    </r>
  </si>
  <si>
    <t>Apakah All member konsistensi dalam menjalankan pekerjaanya sesuai aturan / WI / SOP yang ada?
dan,
Tidak terjadi masalah wrong supply (wrong part, mixed part, shortage, excess, error label, error item card)</t>
  </si>
  <si>
    <r>
      <t xml:space="preserve">All Member:
1. Telah menjalankan aturan yang ada secara </t>
    </r>
    <r>
      <rPr>
        <b/>
        <sz val="14"/>
        <color theme="1"/>
        <rFont val="Aptos Narrow"/>
        <family val="2"/>
        <scheme val="minor"/>
      </rPr>
      <t>konsisten</t>
    </r>
    <r>
      <rPr>
        <sz val="14"/>
        <color theme="1"/>
        <rFont val="Aptos Narrow"/>
        <family val="2"/>
        <scheme val="minor"/>
      </rPr>
      <t xml:space="preserve">
2. Ada Record edukasi dan evaluasi terhadap pekerjaanya dan tidak ada temuan
3. Tidak ada masalah yang terjadi</t>
    </r>
  </si>
  <si>
    <t>Apakah terdapat review secara periodical untuk preventive terhadap penanganan masalah dari tidak tuntasnya Pekerjaan yang dilakukan?</t>
  </si>
  <si>
    <t>Apakah All member menjalankanpekerjaanya sesuai siklus 1 cycle yang ada pada aturan / WI / SOP yang ada?
dan,
Tidak terjadi masalah wrong supply (wrong part, mixed part, shortage, excess, error label, error item card)</t>
  </si>
  <si>
    <r>
      <t xml:space="preserve">All Member:
1. Telah menjalankan aturan 1 cycle yang ada secara </t>
    </r>
    <r>
      <rPr>
        <b/>
        <sz val="14"/>
        <color theme="1"/>
        <rFont val="Aptos Narrow"/>
        <family val="2"/>
        <scheme val="minor"/>
      </rPr>
      <t>konsisten</t>
    </r>
    <r>
      <rPr>
        <sz val="14"/>
        <color theme="1"/>
        <rFont val="Aptos Narrow"/>
        <family val="2"/>
        <scheme val="minor"/>
      </rPr>
      <t xml:space="preserve">
2. Ada Record edukasi dan evaluasi terhadap pekerjaanya dan tidak ada temuan
3. Tidak ada masalah yang terjadi</t>
    </r>
  </si>
  <si>
    <t>Apakah ada WI/SOP yang menjelaskan 1 cycle dari mulai hingga selesai bekerja untuk masing-masing shop dan masing-masing proses?</t>
  </si>
  <si>
    <t>1. Clear 1 Cycle untuk pekerjaan normal
2. Clear 1 Cycle untuk pekerjaan abnormal
3. Clear 1 Cycle untuk Operator dan Leader (Hingga masalah selesai)</t>
  </si>
  <si>
    <t>Apakah Member memahami dan bisa menjelaskan WI/SOP 1 Cycle yang tertera?</t>
  </si>
  <si>
    <t>Apakah Member menjalankan pekerjaan sesuai 1 Cycle dengan WI/SOP yang tertera?
(Operator dan leader)</t>
  </si>
  <si>
    <t>Apakah Member paham terhadap mengecek identitas part 1 Cycle?</t>
  </si>
  <si>
    <r>
      <t xml:space="preserve">1. Operator </t>
    </r>
    <r>
      <rPr>
        <b/>
        <sz val="14"/>
        <color theme="1"/>
        <rFont val="Aptos Narrow"/>
        <family val="2"/>
        <scheme val="minor"/>
      </rPr>
      <t>bisa memahami</t>
    </r>
    <r>
      <rPr>
        <sz val="14"/>
        <color theme="1"/>
        <rFont val="Aptos Narrow"/>
        <family val="2"/>
        <scheme val="minor"/>
      </rPr>
      <t xml:space="preserve"> dan </t>
    </r>
    <r>
      <rPr>
        <b/>
        <sz val="14"/>
        <color theme="1"/>
        <rFont val="Aptos Narrow"/>
        <family val="2"/>
        <scheme val="minor"/>
      </rPr>
      <t>menjelaskan</t>
    </r>
    <r>
      <rPr>
        <sz val="14"/>
        <color theme="1"/>
        <rFont val="Aptos Narrow"/>
        <family val="2"/>
        <scheme val="minor"/>
      </rPr>
      <t xml:space="preserve"> keseluruhan WI/SOP yang tertera, metode:
    - </t>
    </r>
    <r>
      <rPr>
        <b/>
        <sz val="14"/>
        <color theme="1"/>
        <rFont val="Aptos Narrow"/>
        <family val="2"/>
        <scheme val="minor"/>
      </rPr>
      <t>Menanyakan</t>
    </r>
    <r>
      <rPr>
        <sz val="14"/>
        <color theme="1"/>
        <rFont val="Aptos Narrow"/>
        <family val="2"/>
        <scheme val="minor"/>
      </rPr>
      <t xml:space="preserve"> ke Operator </t>
    </r>
    <r>
      <rPr>
        <b/>
        <sz val="14"/>
        <color theme="1"/>
        <rFont val="Aptos Narrow"/>
        <family val="2"/>
        <scheme val="minor"/>
      </rPr>
      <t>Setelah</t>
    </r>
    <r>
      <rPr>
        <sz val="14"/>
        <color theme="1"/>
        <rFont val="Aptos Narrow"/>
        <family val="2"/>
        <scheme val="minor"/>
      </rPr>
      <t xml:space="preserve"> menyelesaikan </t>
    </r>
    <r>
      <rPr>
        <b/>
        <sz val="14"/>
        <color theme="1"/>
        <rFont val="Aptos Narrow"/>
        <family val="2"/>
        <scheme val="minor"/>
      </rPr>
      <t xml:space="preserve">kerja 1 cycle
</t>
    </r>
    <r>
      <rPr>
        <sz val="14"/>
        <color theme="1"/>
        <rFont val="Aptos Narrow"/>
        <family val="2"/>
        <scheme val="minor"/>
      </rPr>
      <t xml:space="preserve">    - Kerja </t>
    </r>
    <r>
      <rPr>
        <b/>
        <sz val="14"/>
        <color theme="1"/>
        <rFont val="Aptos Narrow"/>
        <family val="2"/>
        <scheme val="minor"/>
      </rPr>
      <t>Tidak Borongan</t>
    </r>
    <r>
      <rPr>
        <sz val="14"/>
        <color theme="1"/>
        <rFont val="Aptos Narrow"/>
        <family val="2"/>
        <scheme val="minor"/>
      </rPr>
      <t xml:space="preserve">
2. Telah </t>
    </r>
    <r>
      <rPr>
        <b/>
        <sz val="14"/>
        <color theme="1"/>
        <rFont val="Aptos Narrow"/>
        <family val="2"/>
        <scheme val="minor"/>
      </rPr>
      <t>dilakukan edukasi</t>
    </r>
    <r>
      <rPr>
        <sz val="14"/>
        <color theme="1"/>
        <rFont val="Aptos Narrow"/>
        <family val="2"/>
        <scheme val="minor"/>
      </rPr>
      <t xml:space="preserve"> ke Operator terkait, dengan terlampir:
a. Edukasi Teori:
    - </t>
    </r>
    <r>
      <rPr>
        <b/>
        <sz val="14"/>
        <color theme="1"/>
        <rFont val="Aptos Narrow"/>
        <family val="2"/>
        <scheme val="minor"/>
      </rPr>
      <t>Materi Edukasi</t>
    </r>
    <r>
      <rPr>
        <sz val="14"/>
        <color theme="1"/>
        <rFont val="Aptos Narrow"/>
        <family val="2"/>
        <scheme val="minor"/>
      </rPr>
      <t xml:space="preserve">
    - </t>
    </r>
    <r>
      <rPr>
        <b/>
        <sz val="14"/>
        <color theme="1"/>
        <rFont val="Aptos Narrow"/>
        <family val="2"/>
        <scheme val="minor"/>
      </rPr>
      <t>Bukti Hadir</t>
    </r>
    <r>
      <rPr>
        <sz val="14"/>
        <color theme="1"/>
        <rFont val="Aptos Narrow"/>
        <family val="2"/>
        <scheme val="minor"/>
      </rPr>
      <t xml:space="preserve">
    - </t>
    </r>
    <r>
      <rPr>
        <b/>
        <sz val="14"/>
        <color theme="1"/>
        <rFont val="Aptos Narrow"/>
        <family val="2"/>
        <scheme val="minor"/>
      </rPr>
      <t>Tanda tangan</t>
    </r>
    <r>
      <rPr>
        <sz val="14"/>
        <color theme="1"/>
        <rFont val="Aptos Narrow"/>
        <family val="2"/>
        <scheme val="minor"/>
      </rPr>
      <t xml:space="preserve"> Operator
    - </t>
    </r>
    <r>
      <rPr>
        <b/>
        <sz val="14"/>
        <color theme="1"/>
        <rFont val="Aptos Narrow"/>
        <family val="2"/>
        <scheme val="minor"/>
      </rPr>
      <t>Soal</t>
    </r>
    <r>
      <rPr>
        <sz val="14"/>
        <color theme="1"/>
        <rFont val="Aptos Narrow"/>
        <family val="2"/>
        <scheme val="minor"/>
      </rPr>
      <t xml:space="preserve"> / </t>
    </r>
    <r>
      <rPr>
        <b/>
        <sz val="14"/>
        <color theme="1"/>
        <rFont val="Aptos Narrow"/>
        <family val="2"/>
        <scheme val="minor"/>
      </rPr>
      <t>Test</t>
    </r>
    <r>
      <rPr>
        <sz val="14"/>
        <color theme="1"/>
        <rFont val="Aptos Narrow"/>
        <family val="2"/>
        <scheme val="minor"/>
      </rPr>
      <t xml:space="preserve"> Edukasi
    - </t>
    </r>
    <r>
      <rPr>
        <b/>
        <sz val="14"/>
        <color theme="1"/>
        <rFont val="Aptos Narrow"/>
        <family val="2"/>
        <scheme val="minor"/>
      </rPr>
      <t>Record</t>
    </r>
    <r>
      <rPr>
        <sz val="14"/>
        <color theme="1"/>
        <rFont val="Aptos Narrow"/>
        <family val="2"/>
        <scheme val="minor"/>
      </rPr>
      <t xml:space="preserve"> Edukasi
    - </t>
    </r>
    <r>
      <rPr>
        <b/>
        <sz val="14"/>
        <color theme="1"/>
        <rFont val="Aptos Narrow"/>
        <family val="2"/>
        <scheme val="minor"/>
      </rPr>
      <t>Hasil</t>
    </r>
    <r>
      <rPr>
        <sz val="14"/>
        <color theme="1"/>
        <rFont val="Aptos Narrow"/>
        <family val="2"/>
        <scheme val="minor"/>
      </rPr>
      <t xml:space="preserve"> Evaluasi (Nilai / Score)
    - Planning Edukasi </t>
    </r>
    <r>
      <rPr>
        <b/>
        <sz val="14"/>
        <color theme="1"/>
        <rFont val="Aptos Narrow"/>
        <family val="2"/>
        <scheme val="minor"/>
      </rPr>
      <t>berkala</t>
    </r>
    <r>
      <rPr>
        <sz val="14"/>
        <color theme="1"/>
        <rFont val="Aptos Narrow"/>
        <family val="2"/>
        <scheme val="minor"/>
      </rPr>
      <t xml:space="preserve">
b. Edukasi Praktek (OJT):
    - </t>
    </r>
    <r>
      <rPr>
        <b/>
        <sz val="14"/>
        <color theme="1"/>
        <rFont val="Aptos Narrow"/>
        <family val="2"/>
        <scheme val="minor"/>
      </rPr>
      <t>Materi</t>
    </r>
    <r>
      <rPr>
        <sz val="14"/>
        <color theme="1"/>
        <rFont val="Aptos Narrow"/>
        <family val="2"/>
        <scheme val="minor"/>
      </rPr>
      <t xml:space="preserve"> dan </t>
    </r>
    <r>
      <rPr>
        <b/>
        <sz val="14"/>
        <color theme="1"/>
        <rFont val="Aptos Narrow"/>
        <family val="2"/>
        <scheme val="minor"/>
      </rPr>
      <t>Checksheet</t>
    </r>
    <r>
      <rPr>
        <sz val="14"/>
        <color theme="1"/>
        <rFont val="Aptos Narrow"/>
        <family val="2"/>
        <scheme val="minor"/>
      </rPr>
      <t xml:space="preserve"> OJT
    - </t>
    </r>
    <r>
      <rPr>
        <b/>
        <sz val="14"/>
        <color theme="1"/>
        <rFont val="Aptos Narrow"/>
        <family val="2"/>
        <scheme val="minor"/>
      </rPr>
      <t>Hasil</t>
    </r>
    <r>
      <rPr>
        <sz val="14"/>
        <color theme="1"/>
        <rFont val="Aptos Narrow"/>
        <family val="2"/>
        <scheme val="minor"/>
      </rPr>
      <t xml:space="preserve"> Observasi/Evaluasi (Nilai / Score) oleh Leader
    - Refreshment OJT </t>
    </r>
    <r>
      <rPr>
        <b/>
        <sz val="14"/>
        <color theme="1"/>
        <rFont val="Aptos Narrow"/>
        <family val="2"/>
        <scheme val="minor"/>
      </rPr>
      <t>berkala</t>
    </r>
  </si>
  <si>
    <r>
      <t xml:space="preserve">1. Member </t>
    </r>
    <r>
      <rPr>
        <b/>
        <sz val="14"/>
        <color theme="1"/>
        <rFont val="Aptos Narrow"/>
        <family val="2"/>
        <scheme val="minor"/>
      </rPr>
      <t>terbiasa</t>
    </r>
    <r>
      <rPr>
        <sz val="14"/>
        <color theme="1"/>
        <rFont val="Aptos Narrow"/>
        <family val="2"/>
        <scheme val="minor"/>
      </rPr>
      <t xml:space="preserve"> bekerja 1 cycle dan jika tidak 1 cycle : Ada tag Kerja Tuntas
2. Member </t>
    </r>
    <r>
      <rPr>
        <b/>
        <i/>
        <sz val="14"/>
        <color theme="1"/>
        <rFont val="Aptos Narrow"/>
        <family val="2"/>
        <scheme val="minor"/>
      </rPr>
      <t>concern</t>
    </r>
    <r>
      <rPr>
        <i/>
        <sz val="14"/>
        <color theme="1"/>
        <rFont val="Aptos Narrow"/>
        <family val="2"/>
        <scheme val="minor"/>
      </rPr>
      <t xml:space="preserve"> </t>
    </r>
    <r>
      <rPr>
        <sz val="14"/>
        <color theme="1"/>
        <rFont val="Aptos Narrow"/>
        <family val="2"/>
        <scheme val="minor"/>
      </rPr>
      <t xml:space="preserve">untuk make sure jika part number/name </t>
    </r>
    <r>
      <rPr>
        <b/>
        <sz val="14"/>
        <color theme="1"/>
        <rFont val="Aptos Narrow"/>
        <family val="2"/>
        <scheme val="minor"/>
      </rPr>
      <t>similar</t>
    </r>
    <r>
      <rPr>
        <sz val="14"/>
        <color theme="1"/>
        <rFont val="Aptos Narrow"/>
        <family val="2"/>
        <scheme val="minor"/>
      </rPr>
      <t xml:space="preserve">
3. Member paham terkait pentingnya </t>
    </r>
    <r>
      <rPr>
        <i/>
        <sz val="14"/>
        <color theme="1"/>
        <rFont val="Aptos Narrow"/>
        <family val="2"/>
        <scheme val="minor"/>
      </rPr>
      <t>preventive wrong supply problem</t>
    </r>
  </si>
  <si>
    <r>
      <t xml:space="preserve">1. Terdapat </t>
    </r>
    <r>
      <rPr>
        <b/>
        <sz val="14"/>
        <color theme="1"/>
        <rFont val="Aptos Narrow"/>
        <family val="2"/>
        <scheme val="minor"/>
      </rPr>
      <t>identitas</t>
    </r>
    <r>
      <rPr>
        <sz val="14"/>
        <color theme="1"/>
        <rFont val="Aptos Narrow"/>
        <family val="2"/>
        <scheme val="minor"/>
      </rPr>
      <t xml:space="preserve"> Tag Kerja Tuntas dan Informasi yang jelas
2. Identitas part harus jelas (Cth: </t>
    </r>
    <r>
      <rPr>
        <b/>
        <sz val="14"/>
        <color theme="1"/>
        <rFont val="Aptos Narrow"/>
        <family val="2"/>
        <scheme val="minor"/>
      </rPr>
      <t>14 digit</t>
    </r>
    <r>
      <rPr>
        <sz val="14"/>
        <color theme="1"/>
        <rFont val="Aptos Narrow"/>
        <family val="2"/>
        <scheme val="minor"/>
      </rPr>
      <t xml:space="preserve"> part number YIMM)
3. Ada </t>
    </r>
    <r>
      <rPr>
        <b/>
        <sz val="14"/>
        <color theme="1"/>
        <rFont val="Aptos Narrow"/>
        <family val="2"/>
        <scheme val="minor"/>
      </rPr>
      <t>Detail</t>
    </r>
    <r>
      <rPr>
        <sz val="14"/>
        <color theme="1"/>
        <rFont val="Aptos Narrow"/>
        <family val="2"/>
        <scheme val="minor"/>
      </rPr>
      <t xml:space="preserve"> Standard Proses Garansi Delivery:
    - Verifikasi / Pemastian </t>
    </r>
    <r>
      <rPr>
        <b/>
        <sz val="14"/>
        <color theme="1"/>
        <rFont val="Aptos Narrow"/>
        <family val="2"/>
        <scheme val="minor"/>
      </rPr>
      <t>Addressing</t>
    </r>
    <r>
      <rPr>
        <sz val="14"/>
        <color theme="1"/>
        <rFont val="Aptos Narrow"/>
        <family val="2"/>
        <scheme val="minor"/>
      </rPr>
      <t xml:space="preserve"> dengan </t>
    </r>
    <r>
      <rPr>
        <i/>
        <sz val="14"/>
        <color theme="1"/>
        <rFont val="Aptos Narrow"/>
        <family val="2"/>
        <scheme val="minor"/>
      </rPr>
      <t xml:space="preserve">actual </t>
    </r>
    <r>
      <rPr>
        <sz val="14"/>
        <color theme="1"/>
        <rFont val="Aptos Narrow"/>
        <family val="2"/>
        <scheme val="minor"/>
      </rPr>
      <t>part / label part / YIMM item card</t>
    </r>
  </si>
  <si>
    <r>
      <t xml:space="preserve">Apakah Member selalu menjalankan siklus 1 cycle dan garansi identitas </t>
    </r>
    <r>
      <rPr>
        <i/>
        <sz val="14"/>
        <color theme="1"/>
        <rFont val="Aptos Narrow"/>
        <family val="2"/>
        <scheme val="minor"/>
      </rPr>
      <t xml:space="preserve">actual </t>
    </r>
    <r>
      <rPr>
        <sz val="14"/>
        <color theme="1"/>
        <rFont val="Aptos Narrow"/>
        <family val="2"/>
        <scheme val="minor"/>
      </rPr>
      <t>part = label = item card ?</t>
    </r>
  </si>
  <si>
    <t>Ada aturan waktu / 1 cycle yang jelas untuk mengisi / mencatat hasil kerja di Chekchseet</t>
  </si>
  <si>
    <t>Apakah Member paham bagaimana cara menggunakan checksheet dalam 1 cycle?</t>
  </si>
  <si>
    <t xml:space="preserve">Ada aturan untuk:
1. Mengatur waktu pengisian hasil kerja yang jelas
2. Mengatur frekuensi pengisial hasil kerja yang jelas
</t>
  </si>
  <si>
    <t>Operator paham:
1. Mengisi sesuai waktu
2. Mengisi sesuai frekuensi yang ditentukan</t>
  </si>
  <si>
    <t>Apakah Member mengisi checksheet / hasil kerja sesuai 1 cycle?</t>
  </si>
  <si>
    <t>1. Operator mengisi checksheet sesuai dengan waktu dan frekuensi yang telah ditentukan (Tidak Borongan / 1 Cycle)
Metode Penilaian: 
1. Melihat record checkseet
2. Melihat operator/PIC pengecekan melakukan sampling pengecekan terhadap checksheet yang ada</t>
  </si>
  <si>
    <t>Ada Aturan Menyiapkan Alat Kerja / Support yang ditentukan</t>
  </si>
  <si>
    <t xml:space="preserve">Ada aturan untuk:
1. Kapan harus menyiapkan Alat Kerja / Support
2. Kapan harus di-maintenance
3. 1 Cycle Penggunaan Alat Kerja / Support
</t>
  </si>
  <si>
    <t>Apakah Member paham 1 Cycle untuk penggunaan Alat Kerja?</t>
  </si>
  <si>
    <t>Operator paham:
1. Menggunakan Alat kerja / support sesuai waktu
2. Menggunakan Alat Kerja sesuai 1 cycle</t>
  </si>
  <si>
    <t>Apakah Member sudah menggunakan Alat Kerja secara 1 cycle?</t>
  </si>
  <si>
    <r>
      <t xml:space="preserve">Operator dan Leader menggunakan Alat Kerja sesuai </t>
    </r>
    <r>
      <rPr>
        <b/>
        <sz val="14"/>
        <color theme="1"/>
        <rFont val="Aptos Narrow"/>
        <family val="2"/>
        <scheme val="minor"/>
      </rPr>
      <t>fungsi garansi</t>
    </r>
    <r>
      <rPr>
        <sz val="14"/>
        <color theme="1"/>
        <rFont val="Aptos Narrow"/>
        <family val="2"/>
        <scheme val="minor"/>
      </rPr>
      <t xml:space="preserve"> delivery dan sesuai </t>
    </r>
    <r>
      <rPr>
        <b/>
        <sz val="14"/>
        <color theme="1"/>
        <rFont val="Aptos Narrow"/>
        <family val="2"/>
        <scheme val="minor"/>
      </rPr>
      <t>1 cycle</t>
    </r>
  </si>
  <si>
    <t>Apakah ada WI/SOP yang menjelaskan bagaimana cara penanganan masing-masing problem / abnormality terkait delivery case?</t>
  </si>
  <si>
    <t>Apakah Member memahami dan bisa menjelaskan bagaimana cara menangani case abnormality?</t>
  </si>
  <si>
    <r>
      <t xml:space="preserve">1. Operator </t>
    </r>
    <r>
      <rPr>
        <b/>
        <sz val="14"/>
        <color theme="1"/>
        <rFont val="Aptos Narrow"/>
        <family val="2"/>
        <scheme val="minor"/>
      </rPr>
      <t>bisa memahami</t>
    </r>
    <r>
      <rPr>
        <sz val="14"/>
        <color theme="1"/>
        <rFont val="Aptos Narrow"/>
        <family val="2"/>
        <scheme val="minor"/>
      </rPr>
      <t xml:space="preserve"> dan </t>
    </r>
    <r>
      <rPr>
        <b/>
        <sz val="14"/>
        <color theme="1"/>
        <rFont val="Aptos Narrow"/>
        <family val="2"/>
        <scheme val="minor"/>
      </rPr>
      <t>menjelaskan</t>
    </r>
    <r>
      <rPr>
        <sz val="14"/>
        <color theme="1"/>
        <rFont val="Aptos Narrow"/>
        <family val="2"/>
        <scheme val="minor"/>
      </rPr>
      <t xml:space="preserve"> bagaimana cara menangani case abnormality
    - </t>
    </r>
    <r>
      <rPr>
        <b/>
        <sz val="14"/>
        <color theme="1"/>
        <rFont val="Aptos Narrow"/>
        <family val="2"/>
        <scheme val="minor"/>
      </rPr>
      <t>Menanyakan</t>
    </r>
    <r>
      <rPr>
        <sz val="14"/>
        <color theme="1"/>
        <rFont val="Aptos Narrow"/>
        <family val="2"/>
        <scheme val="minor"/>
      </rPr>
      <t xml:space="preserve"> ke Operator </t>
    </r>
    <r>
      <rPr>
        <b/>
        <sz val="14"/>
        <color theme="1"/>
        <rFont val="Aptos Narrow"/>
        <family val="2"/>
        <scheme val="minor"/>
      </rPr>
      <t>Setelah</t>
    </r>
    <r>
      <rPr>
        <sz val="14"/>
        <color theme="1"/>
        <rFont val="Aptos Narrow"/>
        <family val="2"/>
        <scheme val="minor"/>
      </rPr>
      <t xml:space="preserve"> menyelesaikan </t>
    </r>
    <r>
      <rPr>
        <b/>
        <sz val="14"/>
        <color theme="1"/>
        <rFont val="Aptos Narrow"/>
        <family val="2"/>
        <scheme val="minor"/>
      </rPr>
      <t xml:space="preserve">kerja 1 cycle
</t>
    </r>
    <r>
      <rPr>
        <sz val="14"/>
        <color theme="1"/>
        <rFont val="Aptos Narrow"/>
        <family val="2"/>
        <scheme val="minor"/>
      </rPr>
      <t xml:space="preserve">    - Contoh case : wrong supply case
2. Telah </t>
    </r>
    <r>
      <rPr>
        <b/>
        <sz val="14"/>
        <color theme="1"/>
        <rFont val="Aptos Narrow"/>
        <family val="2"/>
        <scheme val="minor"/>
      </rPr>
      <t>dilakukan edukasi</t>
    </r>
    <r>
      <rPr>
        <sz val="14"/>
        <color theme="1"/>
        <rFont val="Aptos Narrow"/>
        <family val="2"/>
        <scheme val="minor"/>
      </rPr>
      <t xml:space="preserve"> ke Operator terkait, dengan terlampir:
a. Edukasi Teori:
    - </t>
    </r>
    <r>
      <rPr>
        <b/>
        <sz val="14"/>
        <color theme="1"/>
        <rFont val="Aptos Narrow"/>
        <family val="2"/>
        <scheme val="minor"/>
      </rPr>
      <t>Materi Edukasi</t>
    </r>
    <r>
      <rPr>
        <sz val="14"/>
        <color theme="1"/>
        <rFont val="Aptos Narrow"/>
        <family val="2"/>
        <scheme val="minor"/>
      </rPr>
      <t xml:space="preserve">
    - </t>
    </r>
    <r>
      <rPr>
        <b/>
        <sz val="14"/>
        <color theme="1"/>
        <rFont val="Aptos Narrow"/>
        <family val="2"/>
        <scheme val="minor"/>
      </rPr>
      <t>Bukti Hadir</t>
    </r>
    <r>
      <rPr>
        <sz val="14"/>
        <color theme="1"/>
        <rFont val="Aptos Narrow"/>
        <family val="2"/>
        <scheme val="minor"/>
      </rPr>
      <t xml:space="preserve">
    - </t>
    </r>
    <r>
      <rPr>
        <b/>
        <sz val="14"/>
        <color theme="1"/>
        <rFont val="Aptos Narrow"/>
        <family val="2"/>
        <scheme val="minor"/>
      </rPr>
      <t>Tanda tangan</t>
    </r>
    <r>
      <rPr>
        <sz val="14"/>
        <color theme="1"/>
        <rFont val="Aptos Narrow"/>
        <family val="2"/>
        <scheme val="minor"/>
      </rPr>
      <t xml:space="preserve"> Operator
    - </t>
    </r>
    <r>
      <rPr>
        <b/>
        <sz val="14"/>
        <color theme="1"/>
        <rFont val="Aptos Narrow"/>
        <family val="2"/>
        <scheme val="minor"/>
      </rPr>
      <t>Soal</t>
    </r>
    <r>
      <rPr>
        <sz val="14"/>
        <color theme="1"/>
        <rFont val="Aptos Narrow"/>
        <family val="2"/>
        <scheme val="minor"/>
      </rPr>
      <t xml:space="preserve"> / </t>
    </r>
    <r>
      <rPr>
        <b/>
        <sz val="14"/>
        <color theme="1"/>
        <rFont val="Aptos Narrow"/>
        <family val="2"/>
        <scheme val="minor"/>
      </rPr>
      <t>Test</t>
    </r>
    <r>
      <rPr>
        <sz val="14"/>
        <color theme="1"/>
        <rFont val="Aptos Narrow"/>
        <family val="2"/>
        <scheme val="minor"/>
      </rPr>
      <t xml:space="preserve"> Edukasi
    - </t>
    </r>
    <r>
      <rPr>
        <b/>
        <sz val="14"/>
        <color theme="1"/>
        <rFont val="Aptos Narrow"/>
        <family val="2"/>
        <scheme val="minor"/>
      </rPr>
      <t>Record</t>
    </r>
    <r>
      <rPr>
        <sz val="14"/>
        <color theme="1"/>
        <rFont val="Aptos Narrow"/>
        <family val="2"/>
        <scheme val="minor"/>
      </rPr>
      <t xml:space="preserve"> Edukasi
    - </t>
    </r>
    <r>
      <rPr>
        <b/>
        <sz val="14"/>
        <color theme="1"/>
        <rFont val="Aptos Narrow"/>
        <family val="2"/>
        <scheme val="minor"/>
      </rPr>
      <t>Hasil</t>
    </r>
    <r>
      <rPr>
        <sz val="14"/>
        <color theme="1"/>
        <rFont val="Aptos Narrow"/>
        <family val="2"/>
        <scheme val="minor"/>
      </rPr>
      <t xml:space="preserve"> Evaluasi (Nilai / Score)
    - Planning Edukasi </t>
    </r>
    <r>
      <rPr>
        <b/>
        <sz val="14"/>
        <color theme="1"/>
        <rFont val="Aptos Narrow"/>
        <family val="2"/>
        <scheme val="minor"/>
      </rPr>
      <t>berkala</t>
    </r>
    <r>
      <rPr>
        <sz val="14"/>
        <color theme="1"/>
        <rFont val="Aptos Narrow"/>
        <family val="2"/>
        <scheme val="minor"/>
      </rPr>
      <t xml:space="preserve">
b. Edukasi Praktek (OJT):
    - </t>
    </r>
    <r>
      <rPr>
        <b/>
        <sz val="14"/>
        <color theme="1"/>
        <rFont val="Aptos Narrow"/>
        <family val="2"/>
        <scheme val="minor"/>
      </rPr>
      <t>Materi</t>
    </r>
    <r>
      <rPr>
        <sz val="14"/>
        <color theme="1"/>
        <rFont val="Aptos Narrow"/>
        <family val="2"/>
        <scheme val="minor"/>
      </rPr>
      <t xml:space="preserve"> dan </t>
    </r>
    <r>
      <rPr>
        <b/>
        <sz val="14"/>
        <color theme="1"/>
        <rFont val="Aptos Narrow"/>
        <family val="2"/>
        <scheme val="minor"/>
      </rPr>
      <t>Checksheet</t>
    </r>
    <r>
      <rPr>
        <sz val="14"/>
        <color theme="1"/>
        <rFont val="Aptos Narrow"/>
        <family val="2"/>
        <scheme val="minor"/>
      </rPr>
      <t xml:space="preserve"> OJT
    - </t>
    </r>
    <r>
      <rPr>
        <b/>
        <sz val="14"/>
        <color theme="1"/>
        <rFont val="Aptos Narrow"/>
        <family val="2"/>
        <scheme val="minor"/>
      </rPr>
      <t>Hasil</t>
    </r>
    <r>
      <rPr>
        <sz val="14"/>
        <color theme="1"/>
        <rFont val="Aptos Narrow"/>
        <family val="2"/>
        <scheme val="minor"/>
      </rPr>
      <t xml:space="preserve"> Observasi/Evaluasi (Nilai / Score) oleh Leader
    - Refreshment OJT </t>
    </r>
    <r>
      <rPr>
        <b/>
        <sz val="14"/>
        <color theme="1"/>
        <rFont val="Aptos Narrow"/>
        <family val="2"/>
        <scheme val="minor"/>
      </rPr>
      <t>berkala</t>
    </r>
  </si>
  <si>
    <t>Apakah Member menjalankan pekerjaan penanganan abnormality sesuai dengan WI/SOP yang tertera?
(Operator dan leader)</t>
  </si>
  <si>
    <r>
      <t xml:space="preserve">Operator menjalankan urutan kerja </t>
    </r>
    <r>
      <rPr>
        <b/>
        <sz val="14"/>
        <color theme="1"/>
        <rFont val="Aptos Narrow"/>
        <family val="2"/>
        <scheme val="minor"/>
      </rPr>
      <t>berdasarkan WI</t>
    </r>
    <r>
      <rPr>
        <sz val="14"/>
        <color theme="1"/>
        <rFont val="Aptos Narrow"/>
        <family val="2"/>
        <scheme val="minor"/>
      </rPr>
      <t xml:space="preserve">/SOP yang tertera 
</t>
    </r>
    <r>
      <rPr>
        <b/>
        <sz val="14"/>
        <color theme="1"/>
        <rFont val="Aptos Narrow"/>
        <family val="2"/>
        <scheme val="minor"/>
      </rPr>
      <t>Metode Cek Operator (1 Cycle):</t>
    </r>
    <r>
      <rPr>
        <sz val="14"/>
        <color theme="1"/>
        <rFont val="Aptos Narrow"/>
        <family val="2"/>
        <scheme val="minor"/>
      </rPr>
      <t xml:space="preserve">
Dilakukan pengecekan dengan membawa WI dan dilihat poin by poin </t>
    </r>
    <r>
      <rPr>
        <i/>
        <sz val="14"/>
        <color theme="1"/>
        <rFont val="Aptos Narrow"/>
        <family val="2"/>
        <scheme val="minor"/>
      </rPr>
      <t>(menunggu Aktivitas pekerjaan operator sedang berhenti/ selesai 1 cycle)</t>
    </r>
    <r>
      <rPr>
        <sz val="14"/>
        <color theme="1"/>
        <rFont val="Aptos Narrow"/>
        <family val="2"/>
        <scheme val="minor"/>
      </rPr>
      <t xml:space="preserve">
</t>
    </r>
    <r>
      <rPr>
        <b/>
        <sz val="14"/>
        <color theme="1"/>
        <rFont val="Aptos Narrow"/>
        <family val="2"/>
        <scheme val="minor"/>
      </rPr>
      <t>Metode Cek Leader (1 Cycle):</t>
    </r>
    <r>
      <rPr>
        <sz val="14"/>
        <color theme="1"/>
        <rFont val="Aptos Narrow"/>
        <family val="2"/>
        <scheme val="minor"/>
      </rPr>
      <t xml:space="preserve">
1. Dilihat hasil pengecekan aktual oleh atasan (berdasarkan checksheet yang ada)</t>
    </r>
  </si>
  <si>
    <t>Apakah terdapat review secara periodical untuk preventive terhadap penanganan masalah dari tidak dilakukan / tidak clearnya penanganan abnormality?</t>
  </si>
  <si>
    <t>Apakah All member menjalankanpekerjaanya sesuai pada aturan / WI / SOP yang ada?
dan,
Tidak terjadi masalah wrong supply (wrong part, mixed part, shortage, excess, error label, error item card)</t>
  </si>
  <si>
    <r>
      <t xml:space="preserve">All Member:
1. Telah menjalankan aturan penanganan abnormality yang ada secara </t>
    </r>
    <r>
      <rPr>
        <b/>
        <sz val="14"/>
        <color theme="1"/>
        <rFont val="Aptos Narrow"/>
        <family val="2"/>
        <scheme val="minor"/>
      </rPr>
      <t>konsisten</t>
    </r>
    <r>
      <rPr>
        <sz val="14"/>
        <color theme="1"/>
        <rFont val="Aptos Narrow"/>
        <family val="2"/>
        <scheme val="minor"/>
      </rPr>
      <t xml:space="preserve">
2. Ada Record edukasi dan evaluasi terhadap pekerjaanya dan tidak ada temuan
3. Tidak ada masalah yang terjadi</t>
    </r>
  </si>
  <si>
    <t>Apakah ada Identifikasi yang jelas untuk part NG?
(NG secara quality / quantity / delivery)</t>
  </si>
  <si>
    <t>Apakah ada Identifikasi yang jelas yang menggambarkan identitas part secara 1 Cycle?</t>
  </si>
  <si>
    <r>
      <t xml:space="preserve">1. Terdapat </t>
    </r>
    <r>
      <rPr>
        <b/>
        <sz val="14"/>
        <color theme="1"/>
        <rFont val="Aptos Narrow"/>
        <family val="2"/>
        <scheme val="minor"/>
      </rPr>
      <t>identitas</t>
    </r>
    <r>
      <rPr>
        <sz val="14"/>
        <color theme="1"/>
        <rFont val="Aptos Narrow"/>
        <family val="2"/>
        <scheme val="minor"/>
      </rPr>
      <t xml:space="preserve"> Tag Part NG 
2. Identitas part harus jelas (Cth: </t>
    </r>
    <r>
      <rPr>
        <b/>
        <sz val="14"/>
        <color theme="1"/>
        <rFont val="Aptos Narrow"/>
        <family val="2"/>
        <scheme val="minor"/>
      </rPr>
      <t>14 digit</t>
    </r>
    <r>
      <rPr>
        <sz val="14"/>
        <color theme="1"/>
        <rFont val="Aptos Narrow"/>
        <family val="2"/>
        <scheme val="minor"/>
      </rPr>
      <t xml:space="preserve"> part number YIMM)
3. Ada </t>
    </r>
    <r>
      <rPr>
        <b/>
        <sz val="14"/>
        <color theme="1"/>
        <rFont val="Aptos Narrow"/>
        <family val="2"/>
        <scheme val="minor"/>
      </rPr>
      <t>Detail</t>
    </r>
    <r>
      <rPr>
        <sz val="14"/>
        <color theme="1"/>
        <rFont val="Aptos Narrow"/>
        <family val="2"/>
        <scheme val="minor"/>
      </rPr>
      <t xml:space="preserve"> Standard Proses Garansi Delivery:
    - Verifikasi / Pemastian </t>
    </r>
    <r>
      <rPr>
        <b/>
        <sz val="14"/>
        <color theme="1"/>
        <rFont val="Aptos Narrow"/>
        <family val="2"/>
        <scheme val="minor"/>
      </rPr>
      <t>Addressing</t>
    </r>
    <r>
      <rPr>
        <sz val="14"/>
        <color theme="1"/>
        <rFont val="Aptos Narrow"/>
        <family val="2"/>
        <scheme val="minor"/>
      </rPr>
      <t xml:space="preserve"> dengan </t>
    </r>
    <r>
      <rPr>
        <i/>
        <sz val="14"/>
        <color theme="1"/>
        <rFont val="Aptos Narrow"/>
        <family val="2"/>
        <scheme val="minor"/>
      </rPr>
      <t xml:space="preserve">actual </t>
    </r>
    <r>
      <rPr>
        <sz val="14"/>
        <color theme="1"/>
        <rFont val="Aptos Narrow"/>
        <family val="2"/>
        <scheme val="minor"/>
      </rPr>
      <t>part / label part / YIMM item card
4. Ada informasi parameter part tersebut NG</t>
    </r>
  </si>
  <si>
    <t>Apakah Member paham terhadap penanganan Part NG yang clear?</t>
  </si>
  <si>
    <r>
      <t xml:space="preserve">1. Member </t>
    </r>
    <r>
      <rPr>
        <b/>
        <sz val="14"/>
        <color theme="1"/>
        <rFont val="Aptos Narrow"/>
        <family val="2"/>
        <scheme val="minor"/>
      </rPr>
      <t>bisa menjelaskan</t>
    </r>
    <r>
      <rPr>
        <sz val="14"/>
        <color theme="1"/>
        <rFont val="Aptos Narrow"/>
        <family val="2"/>
        <scheme val="minor"/>
      </rPr>
      <t xml:space="preserve"> penanganan part NG yang clear
2. Member mengerti </t>
    </r>
    <r>
      <rPr>
        <b/>
        <sz val="14"/>
        <color theme="1"/>
        <rFont val="Aptos Narrow"/>
        <family val="2"/>
        <scheme val="minor"/>
      </rPr>
      <t>akibat</t>
    </r>
    <r>
      <rPr>
        <sz val="14"/>
        <color theme="1"/>
        <rFont val="Aptos Narrow"/>
        <family val="2"/>
        <scheme val="minor"/>
      </rPr>
      <t xml:space="preserve"> dari penanganan part NG </t>
    </r>
    <r>
      <rPr>
        <b/>
        <sz val="14"/>
        <color theme="1"/>
        <rFont val="Aptos Narrow"/>
        <family val="2"/>
        <scheme val="minor"/>
      </rPr>
      <t>yang tidak clear</t>
    </r>
    <r>
      <rPr>
        <sz val="14"/>
        <color theme="1"/>
        <rFont val="Aptos Narrow"/>
        <family val="2"/>
        <scheme val="minor"/>
      </rPr>
      <t xml:space="preserve">
3. Member paham terkait pentingnya </t>
    </r>
    <r>
      <rPr>
        <i/>
        <sz val="14"/>
        <color theme="1"/>
        <rFont val="Aptos Narrow"/>
        <family val="2"/>
        <scheme val="minor"/>
      </rPr>
      <t>preventive wrong supply problem</t>
    </r>
  </si>
  <si>
    <t>Apakah Member menangani / mengklasifikasikan part yang abnormal dengan jelas?</t>
  </si>
  <si>
    <t>Metode penilaian:
1. Operator mengerti, menjalankan, memilah klasifikasi part NG 
2. Leader cek N=1 dan ada record</t>
  </si>
  <si>
    <t>Metode penilaian:
1. Operator mengerti dan selalu mengecek Identitas part dalam 1 cycle
2. Leader cek N=1 dan ada record</t>
  </si>
  <si>
    <t>Ada aturan untuk mengisi / mencatat NG case delivery di Chekchseet abnormality</t>
  </si>
  <si>
    <t>Terdapat:
1. Ada Checksheet NG delivery (abnormality) dengan informasi temuan problem yang jelas
2. Aturan untuk mengisi / mencatat waktu pengisian hasil kerja yang jelas</t>
  </si>
  <si>
    <t>Apakah Member paham bagaimana cara mengisi checksheet abnormality?</t>
  </si>
  <si>
    <t>Apakah Member mengisi checksheet abnormality?</t>
  </si>
  <si>
    <t>Operator paham:
1. Memilah dan memilih klasifikasi problem sesuai kriteria yang ada
2. Harus mengisi sesuai klasifikasi abnormality yang sesuai
3. Bagaimana cara mengisi dan harus lapor atasan</t>
  </si>
  <si>
    <t>1. Operator mengisi checksheet abnormality sesuai klasifikasi problem
2. Leader melakukan verifikasi terhadap temuan problem Operator dan menyelesaikan hingga selesai dan clear
Metode Penilaian: 
1. Melihat record checkseet
2. Melihat operator/PIC pengecekan melakukan sampling pengecekan terhadap checksheet yang ada</t>
  </si>
  <si>
    <t>Ada Aturan Bagaimana cara menangani Alat Kerja / Support nya NG?</t>
  </si>
  <si>
    <r>
      <rPr>
        <b/>
        <sz val="14"/>
        <color theme="1"/>
        <rFont val="Aptos Narrow"/>
        <family val="2"/>
        <scheme val="minor"/>
      </rPr>
      <t>Clear</t>
    </r>
    <r>
      <rPr>
        <sz val="14"/>
        <color theme="1"/>
        <rFont val="Aptos Narrow"/>
        <family val="2"/>
        <scheme val="minor"/>
      </rPr>
      <t xml:space="preserve"> penanganan handling case delivery abnormality untuk Operator dan Leader (Hingga masalah selesai)
Contoh case:
1. Label Jatuh / Part Tidak ada Label
2. Part Sisa
3. Part Kurang karena NG
4. Part Family Mold yang NG dan menjadi sisa
5. Re-Packing (Penanganan Part Tidak Std)
6. Connection Server untuk scan barcode / E-Catalogue dan printer untuk label error
7. Pergantian M/P secara tiba-tiba (sakit, izin, dll)</t>
    </r>
  </si>
  <si>
    <t xml:space="preserve">Ada aturan dan penanganan jika alat support nya NG, semisal harus ada kerja manual jika alatnya NG (harus clear aturan nya)
</t>
  </si>
  <si>
    <t>Apakah Member paham jika Alat Kerja / Supportnya NG?</t>
  </si>
  <si>
    <t>Operator paham:
1. Tidak bisa memulai kerja jika Alat Kerja / Support nya NG
2. Harus ada judgement Leader jika Alat Kerja / Support nya NG
3. Jika harus mengganti metode (manual), harus paham aturanya</t>
  </si>
  <si>
    <t>Apakah Member sudah menggunakan Alat Kerja (secara normal kondisi atau abnormal kondisi) dengan benar?</t>
  </si>
  <si>
    <r>
      <t xml:space="preserve">1. Operator dan Leader menggunakan Alat Kerja sesuai </t>
    </r>
    <r>
      <rPr>
        <b/>
        <sz val="14"/>
        <color theme="1"/>
        <rFont val="Aptos Narrow"/>
        <family val="2"/>
        <scheme val="minor"/>
      </rPr>
      <t>fungsi garansi</t>
    </r>
    <r>
      <rPr>
        <sz val="14"/>
        <color theme="1"/>
        <rFont val="Aptos Narrow"/>
        <family val="2"/>
        <scheme val="minor"/>
      </rPr>
      <t xml:space="preserve"> delivery 
2. dan jika mengganti metode, Operator dan Leader paham menggunakanya (tidak mengurangi garansi delivery)
3. Ada Verifikasi dan Kontrol dari Leader</t>
    </r>
  </si>
  <si>
    <r>
      <t xml:space="preserve">Apakah ada WI/SOP yang jelas di masing-masing shop dan masing-masing proses untuk penentuan Lokasi </t>
    </r>
    <r>
      <rPr>
        <b/>
        <sz val="14"/>
        <color theme="1"/>
        <rFont val="Aptos Narrow"/>
        <family val="2"/>
        <scheme val="minor"/>
      </rPr>
      <t>Sebelum dan Sesudah Proses</t>
    </r>
    <r>
      <rPr>
        <sz val="14"/>
        <color theme="1"/>
        <rFont val="Aptos Narrow"/>
        <family val="2"/>
        <scheme val="minor"/>
      </rPr>
      <t>?</t>
    </r>
  </si>
  <si>
    <t>1. Ada Standard untuk proses masuk dan keluar dari proses
2. Jika ada area temporary, ada record data list part, standard waktu penyimpanan, dan pencatatan</t>
  </si>
  <si>
    <t>Apakah Member memahami dan bisa menjelaskan clear Flow Lokasi Sebelum dan Sesudah proses?</t>
  </si>
  <si>
    <t>Apakah ada Identifikasi yang jelas untuk Part Sebelum dan Sesudah Proses?</t>
  </si>
  <si>
    <r>
      <t xml:space="preserve">1. Terdapat </t>
    </r>
    <r>
      <rPr>
        <b/>
        <sz val="14"/>
        <color theme="1"/>
        <rFont val="Aptos Narrow"/>
        <family val="2"/>
        <scheme val="minor"/>
      </rPr>
      <t>identitas</t>
    </r>
    <r>
      <rPr>
        <sz val="14"/>
        <color theme="1"/>
        <rFont val="Aptos Narrow"/>
        <family val="2"/>
        <scheme val="minor"/>
      </rPr>
      <t xml:space="preserve"> yang jelas </t>
    </r>
    <r>
      <rPr>
        <b/>
        <sz val="14"/>
        <color theme="1"/>
        <rFont val="Aptos Narrow"/>
        <family val="2"/>
        <scheme val="minor"/>
      </rPr>
      <t>di Part</t>
    </r>
    <r>
      <rPr>
        <sz val="14"/>
        <color theme="1"/>
        <rFont val="Aptos Narrow"/>
        <family val="2"/>
        <scheme val="minor"/>
      </rPr>
      <t xml:space="preserve"> / </t>
    </r>
    <r>
      <rPr>
        <b/>
        <sz val="14"/>
        <color theme="1"/>
        <rFont val="Aptos Narrow"/>
        <family val="2"/>
        <scheme val="minor"/>
      </rPr>
      <t>Label</t>
    </r>
    <r>
      <rPr>
        <sz val="14"/>
        <color theme="1"/>
        <rFont val="Aptos Narrow"/>
        <family val="2"/>
        <scheme val="minor"/>
      </rPr>
      <t xml:space="preserve"> di Part (pemisahan antara yang belum dan yang sudah proses)
2. Identitas part harus jelas (Cth: </t>
    </r>
    <r>
      <rPr>
        <b/>
        <sz val="14"/>
        <color theme="1"/>
        <rFont val="Aptos Narrow"/>
        <family val="2"/>
        <scheme val="minor"/>
      </rPr>
      <t>14 digit</t>
    </r>
    <r>
      <rPr>
        <sz val="14"/>
        <color theme="1"/>
        <rFont val="Aptos Narrow"/>
        <family val="2"/>
        <scheme val="minor"/>
      </rPr>
      <t xml:space="preserve"> part number YIMM)
3. Ada </t>
    </r>
    <r>
      <rPr>
        <b/>
        <sz val="14"/>
        <color theme="1"/>
        <rFont val="Aptos Narrow"/>
        <family val="2"/>
        <scheme val="minor"/>
      </rPr>
      <t>Detail</t>
    </r>
    <r>
      <rPr>
        <sz val="14"/>
        <color theme="1"/>
        <rFont val="Aptos Narrow"/>
        <family val="2"/>
        <scheme val="minor"/>
      </rPr>
      <t xml:space="preserve"> Standard Proses Garansi Delivery:
    - Verifikasi / Pemastian </t>
    </r>
    <r>
      <rPr>
        <b/>
        <sz val="14"/>
        <color theme="1"/>
        <rFont val="Aptos Narrow"/>
        <family val="2"/>
        <scheme val="minor"/>
      </rPr>
      <t>Addressing</t>
    </r>
    <r>
      <rPr>
        <sz val="14"/>
        <color theme="1"/>
        <rFont val="Aptos Narrow"/>
        <family val="2"/>
        <scheme val="minor"/>
      </rPr>
      <t xml:space="preserve"> dengan </t>
    </r>
    <r>
      <rPr>
        <i/>
        <sz val="14"/>
        <color theme="1"/>
        <rFont val="Aptos Narrow"/>
        <family val="2"/>
        <scheme val="minor"/>
      </rPr>
      <t xml:space="preserve">actual </t>
    </r>
    <r>
      <rPr>
        <sz val="14"/>
        <color theme="1"/>
        <rFont val="Aptos Narrow"/>
        <family val="2"/>
        <scheme val="minor"/>
      </rPr>
      <t>part / label part / YIMM item card</t>
    </r>
  </si>
  <si>
    <t>Apakah Member menempatkan part sesuai dengan lokasi sebelum dan sesudah proses?
(Operator dan leader)</t>
  </si>
  <si>
    <r>
      <t xml:space="preserve">1. Operator </t>
    </r>
    <r>
      <rPr>
        <b/>
        <sz val="14"/>
        <color theme="1"/>
        <rFont val="Aptos Narrow"/>
        <family val="2"/>
        <scheme val="minor"/>
      </rPr>
      <t>bisa memahami</t>
    </r>
    <r>
      <rPr>
        <sz val="14"/>
        <color theme="1"/>
        <rFont val="Aptos Narrow"/>
        <family val="2"/>
        <scheme val="minor"/>
      </rPr>
      <t xml:space="preserve"> dan </t>
    </r>
    <r>
      <rPr>
        <b/>
        <sz val="14"/>
        <color theme="1"/>
        <rFont val="Aptos Narrow"/>
        <family val="2"/>
        <scheme val="minor"/>
      </rPr>
      <t>menjelaskan</t>
    </r>
    <r>
      <rPr>
        <sz val="14"/>
        <color theme="1"/>
        <rFont val="Aptos Narrow"/>
        <family val="2"/>
        <scheme val="minor"/>
      </rPr>
      <t xml:space="preserve"> keseluruhan terkait PSSP di proses terkait, metode:
    - </t>
    </r>
    <r>
      <rPr>
        <b/>
        <sz val="14"/>
        <color theme="1"/>
        <rFont val="Aptos Narrow"/>
        <family val="2"/>
        <scheme val="minor"/>
      </rPr>
      <t>Menanyakan</t>
    </r>
    <r>
      <rPr>
        <sz val="14"/>
        <color theme="1"/>
        <rFont val="Aptos Narrow"/>
        <family val="2"/>
        <scheme val="minor"/>
      </rPr>
      <t xml:space="preserve"> ke Operator </t>
    </r>
    <r>
      <rPr>
        <b/>
        <sz val="14"/>
        <color theme="1"/>
        <rFont val="Aptos Narrow"/>
        <family val="2"/>
        <scheme val="minor"/>
      </rPr>
      <t>Setelah</t>
    </r>
    <r>
      <rPr>
        <sz val="14"/>
        <color theme="1"/>
        <rFont val="Aptos Narrow"/>
        <family val="2"/>
        <scheme val="minor"/>
      </rPr>
      <t xml:space="preserve"> menyelesaikan </t>
    </r>
    <r>
      <rPr>
        <b/>
        <sz val="14"/>
        <color theme="1"/>
        <rFont val="Aptos Narrow"/>
        <family val="2"/>
        <scheme val="minor"/>
      </rPr>
      <t>kerja 1 cycle</t>
    </r>
    <r>
      <rPr>
        <sz val="14"/>
        <color theme="1"/>
        <rFont val="Aptos Narrow"/>
        <family val="2"/>
        <scheme val="minor"/>
      </rPr>
      <t xml:space="preserve">
2. Telah </t>
    </r>
    <r>
      <rPr>
        <b/>
        <sz val="14"/>
        <color theme="1"/>
        <rFont val="Aptos Narrow"/>
        <family val="2"/>
        <scheme val="minor"/>
      </rPr>
      <t>dilakukan edukasi</t>
    </r>
    <r>
      <rPr>
        <sz val="14"/>
        <color theme="1"/>
        <rFont val="Aptos Narrow"/>
        <family val="2"/>
        <scheme val="minor"/>
      </rPr>
      <t xml:space="preserve"> ke Operator terkait, dengan terlampir:
a. Edukasi Teori:
    - </t>
    </r>
    <r>
      <rPr>
        <b/>
        <sz val="14"/>
        <color theme="1"/>
        <rFont val="Aptos Narrow"/>
        <family val="2"/>
        <scheme val="minor"/>
      </rPr>
      <t>Materi Edukasi</t>
    </r>
    <r>
      <rPr>
        <sz val="14"/>
        <color theme="1"/>
        <rFont val="Aptos Narrow"/>
        <family val="2"/>
        <scheme val="minor"/>
      </rPr>
      <t xml:space="preserve">
    - </t>
    </r>
    <r>
      <rPr>
        <b/>
        <sz val="14"/>
        <color theme="1"/>
        <rFont val="Aptos Narrow"/>
        <family val="2"/>
        <scheme val="minor"/>
      </rPr>
      <t>Bukti Hadir</t>
    </r>
    <r>
      <rPr>
        <sz val="14"/>
        <color theme="1"/>
        <rFont val="Aptos Narrow"/>
        <family val="2"/>
        <scheme val="minor"/>
      </rPr>
      <t xml:space="preserve">
    - </t>
    </r>
    <r>
      <rPr>
        <b/>
        <sz val="14"/>
        <color theme="1"/>
        <rFont val="Aptos Narrow"/>
        <family val="2"/>
        <scheme val="minor"/>
      </rPr>
      <t>Tanda tangan</t>
    </r>
    <r>
      <rPr>
        <sz val="14"/>
        <color theme="1"/>
        <rFont val="Aptos Narrow"/>
        <family val="2"/>
        <scheme val="minor"/>
      </rPr>
      <t xml:space="preserve"> Operator
    - </t>
    </r>
    <r>
      <rPr>
        <b/>
        <sz val="14"/>
        <color theme="1"/>
        <rFont val="Aptos Narrow"/>
        <family val="2"/>
        <scheme val="minor"/>
      </rPr>
      <t>Soal</t>
    </r>
    <r>
      <rPr>
        <sz val="14"/>
        <color theme="1"/>
        <rFont val="Aptos Narrow"/>
        <family val="2"/>
        <scheme val="minor"/>
      </rPr>
      <t xml:space="preserve"> / </t>
    </r>
    <r>
      <rPr>
        <b/>
        <sz val="14"/>
        <color theme="1"/>
        <rFont val="Aptos Narrow"/>
        <family val="2"/>
        <scheme val="minor"/>
      </rPr>
      <t>Test</t>
    </r>
    <r>
      <rPr>
        <sz val="14"/>
        <color theme="1"/>
        <rFont val="Aptos Narrow"/>
        <family val="2"/>
        <scheme val="minor"/>
      </rPr>
      <t xml:space="preserve"> Edukasi
    - </t>
    </r>
    <r>
      <rPr>
        <b/>
        <sz val="14"/>
        <color theme="1"/>
        <rFont val="Aptos Narrow"/>
        <family val="2"/>
        <scheme val="minor"/>
      </rPr>
      <t>Record</t>
    </r>
    <r>
      <rPr>
        <sz val="14"/>
        <color theme="1"/>
        <rFont val="Aptos Narrow"/>
        <family val="2"/>
        <scheme val="minor"/>
      </rPr>
      <t xml:space="preserve"> Edukasi
    - </t>
    </r>
    <r>
      <rPr>
        <b/>
        <sz val="14"/>
        <color theme="1"/>
        <rFont val="Aptos Narrow"/>
        <family val="2"/>
        <scheme val="minor"/>
      </rPr>
      <t>Hasil</t>
    </r>
    <r>
      <rPr>
        <sz val="14"/>
        <color theme="1"/>
        <rFont val="Aptos Narrow"/>
        <family val="2"/>
        <scheme val="minor"/>
      </rPr>
      <t xml:space="preserve"> Evaluasi (Nilai / Score)
    - Planning Edukasi </t>
    </r>
    <r>
      <rPr>
        <b/>
        <sz val="14"/>
        <color theme="1"/>
        <rFont val="Aptos Narrow"/>
        <family val="2"/>
        <scheme val="minor"/>
      </rPr>
      <t>berkala</t>
    </r>
    <r>
      <rPr>
        <sz val="14"/>
        <color theme="1"/>
        <rFont val="Aptos Narrow"/>
        <family val="2"/>
        <scheme val="minor"/>
      </rPr>
      <t xml:space="preserve">
b. Edukasi Praktek (OJT):
    - </t>
    </r>
    <r>
      <rPr>
        <b/>
        <sz val="14"/>
        <color theme="1"/>
        <rFont val="Aptos Narrow"/>
        <family val="2"/>
        <scheme val="minor"/>
      </rPr>
      <t>Materi</t>
    </r>
    <r>
      <rPr>
        <sz val="14"/>
        <color theme="1"/>
        <rFont val="Aptos Narrow"/>
        <family val="2"/>
        <scheme val="minor"/>
      </rPr>
      <t xml:space="preserve"> dan </t>
    </r>
    <r>
      <rPr>
        <b/>
        <sz val="14"/>
        <color theme="1"/>
        <rFont val="Aptos Narrow"/>
        <family val="2"/>
        <scheme val="minor"/>
      </rPr>
      <t>Checksheet</t>
    </r>
    <r>
      <rPr>
        <sz val="14"/>
        <color theme="1"/>
        <rFont val="Aptos Narrow"/>
        <family val="2"/>
        <scheme val="minor"/>
      </rPr>
      <t xml:space="preserve"> OJT
    - </t>
    </r>
    <r>
      <rPr>
        <b/>
        <sz val="14"/>
        <color theme="1"/>
        <rFont val="Aptos Narrow"/>
        <family val="2"/>
        <scheme val="minor"/>
      </rPr>
      <t>Hasil</t>
    </r>
    <r>
      <rPr>
        <sz val="14"/>
        <color theme="1"/>
        <rFont val="Aptos Narrow"/>
        <family val="2"/>
        <scheme val="minor"/>
      </rPr>
      <t xml:space="preserve"> Observasi/Evaluasi (Nilai / Score) oleh Leader
    - Refreshment OJT </t>
    </r>
    <r>
      <rPr>
        <b/>
        <sz val="14"/>
        <color theme="1"/>
        <rFont val="Aptos Narrow"/>
        <family val="2"/>
        <scheme val="minor"/>
      </rPr>
      <t>berkala</t>
    </r>
  </si>
  <si>
    <r>
      <t xml:space="preserve">Operator menjalankan urutan kerja </t>
    </r>
    <r>
      <rPr>
        <b/>
        <sz val="14"/>
        <color theme="1"/>
        <rFont val="Aptos Narrow"/>
        <family val="2"/>
        <scheme val="minor"/>
      </rPr>
      <t>berdasarkan WI</t>
    </r>
    <r>
      <rPr>
        <sz val="14"/>
        <color theme="1"/>
        <rFont val="Aptos Narrow"/>
        <family val="2"/>
        <scheme val="minor"/>
      </rPr>
      <t xml:space="preserve">/SOP yang tertera 
</t>
    </r>
    <r>
      <rPr>
        <b/>
        <sz val="14"/>
        <color theme="1"/>
        <rFont val="Aptos Narrow"/>
        <family val="2"/>
        <scheme val="minor"/>
      </rPr>
      <t>Metode Cek Operator:</t>
    </r>
    <r>
      <rPr>
        <sz val="14"/>
        <color theme="1"/>
        <rFont val="Aptos Narrow"/>
        <family val="2"/>
        <scheme val="minor"/>
      </rPr>
      <t xml:space="preserve">
Dilakukan pengecekan dengan membawa part / packing NG dan dilihat poin by poin </t>
    </r>
    <r>
      <rPr>
        <i/>
        <sz val="14"/>
        <color theme="1"/>
        <rFont val="Aptos Narrow"/>
        <family val="2"/>
        <scheme val="minor"/>
      </rPr>
      <t>(menunggu Aktivitas pekerjaan operator sedang berhenti/ selesai 1 cycle)</t>
    </r>
    <r>
      <rPr>
        <sz val="14"/>
        <color theme="1"/>
        <rFont val="Aptos Narrow"/>
        <family val="2"/>
        <scheme val="minor"/>
      </rPr>
      <t xml:space="preserve">
</t>
    </r>
    <r>
      <rPr>
        <b/>
        <sz val="14"/>
        <color theme="1"/>
        <rFont val="Aptos Narrow"/>
        <family val="2"/>
        <scheme val="minor"/>
      </rPr>
      <t>Metode Cek Leader:</t>
    </r>
    <r>
      <rPr>
        <sz val="14"/>
        <color theme="1"/>
        <rFont val="Aptos Narrow"/>
        <family val="2"/>
        <scheme val="minor"/>
      </rPr>
      <t xml:space="preserve">
1. Apabila ada abnormal/temuan dari hasil pengecekan maka dilakukan action dan record
2. Leader bisa menangani dan ada evidence ketika ada kejadian abnormality / informasi abnormal dari Operator
3. Ada bimbingan ke Operator jika da abnormality
4. Ada Hasil Patrol Leader terkait abnormality case</t>
    </r>
  </si>
  <si>
    <r>
      <t xml:space="preserve">Operator menempatkan part sesuai lokasi sebelum dan sesudah proses 
</t>
    </r>
    <r>
      <rPr>
        <b/>
        <sz val="14"/>
        <color theme="1"/>
        <rFont val="Aptos Narrow"/>
        <family val="2"/>
        <scheme val="minor"/>
      </rPr>
      <t>Metode Cek Operator:</t>
    </r>
    <r>
      <rPr>
        <sz val="14"/>
        <color theme="1"/>
        <rFont val="Aptos Narrow"/>
        <family val="2"/>
        <scheme val="minor"/>
      </rPr>
      <t xml:space="preserve">
Dilakukan pengecekan dengan study case jika part tersebut tidak di lokasi seharusnya </t>
    </r>
    <r>
      <rPr>
        <i/>
        <sz val="14"/>
        <color theme="1"/>
        <rFont val="Aptos Narrow"/>
        <family val="2"/>
        <scheme val="minor"/>
      </rPr>
      <t>(menunggu Aktivitas pekerjaan operator sedang berhenti/ selesai 1 cycle)</t>
    </r>
    <r>
      <rPr>
        <sz val="14"/>
        <color theme="1"/>
        <rFont val="Aptos Narrow"/>
        <family val="2"/>
        <scheme val="minor"/>
      </rPr>
      <t xml:space="preserve">
</t>
    </r>
    <r>
      <rPr>
        <b/>
        <sz val="14"/>
        <color theme="1"/>
        <rFont val="Aptos Narrow"/>
        <family val="2"/>
        <scheme val="minor"/>
      </rPr>
      <t>Metode Cek Leader:</t>
    </r>
    <r>
      <rPr>
        <sz val="14"/>
        <color theme="1"/>
        <rFont val="Aptos Narrow"/>
        <family val="2"/>
        <scheme val="minor"/>
      </rPr>
      <t xml:space="preserve">
1. Terdapat schedule pengecekan ke area kerja (apakah sudah sesuai atau belum)
2. Apabila ada abnormal/temuan dari hasil pengecekan maka dilakukan action dan record</t>
    </r>
  </si>
  <si>
    <t>Apakah Member paham terhadap penempatan part?</t>
  </si>
  <si>
    <t>Apakah Member bisa mengatasi jika ada Part tanpa identitas?</t>
  </si>
  <si>
    <r>
      <t xml:space="preserve">Metode penilaian:
1. Operator mengerti dan selalu mengecek Identitas part
2. Menyebutkan, melihat dan mengecek Operator apakah mereka selalu mengecek </t>
    </r>
    <r>
      <rPr>
        <i/>
        <sz val="14"/>
        <color theme="1"/>
        <rFont val="Aptos Narrow"/>
        <family val="2"/>
        <scheme val="minor"/>
      </rPr>
      <t xml:space="preserve">actual </t>
    </r>
    <r>
      <rPr>
        <sz val="14"/>
        <color theme="1"/>
        <rFont val="Aptos Narrow"/>
        <family val="2"/>
        <scheme val="minor"/>
      </rPr>
      <t xml:space="preserve">part, label supplier dan item card) </t>
    </r>
    <r>
      <rPr>
        <b/>
        <sz val="14"/>
        <color theme="1"/>
        <rFont val="Aptos Narrow"/>
        <family val="2"/>
        <scheme val="minor"/>
      </rPr>
      <t>tidak boleh berbeda</t>
    </r>
    <r>
      <rPr>
        <sz val="14"/>
        <color theme="1"/>
        <rFont val="Aptos Narrow"/>
        <family val="2"/>
        <scheme val="minor"/>
      </rPr>
      <t xml:space="preserve">
3. Leader cek N=1 dan ada record</t>
    </r>
  </si>
  <si>
    <t>Apakah terdapat review secara periodical untuk preventive terhadap penanganan masalah dari tidak clear nya identitas part sebelum dan sesudah proses?</t>
  </si>
  <si>
    <r>
      <t xml:space="preserve">Metode penilaian:
1. Operator mengerti dan selalu mengecek Identitas part
2. Menyebutkan, melihat dan mengecek Operator apakah mereka selalu mengecek </t>
    </r>
    <r>
      <rPr>
        <i/>
        <sz val="14"/>
        <color theme="1"/>
        <rFont val="Aptos Narrow"/>
        <family val="2"/>
        <scheme val="minor"/>
      </rPr>
      <t xml:space="preserve">actual </t>
    </r>
    <r>
      <rPr>
        <sz val="14"/>
        <color theme="1"/>
        <rFont val="Aptos Narrow"/>
        <family val="2"/>
        <scheme val="minor"/>
      </rPr>
      <t xml:space="preserve">part, label supplier dan item card) </t>
    </r>
    <r>
      <rPr>
        <b/>
        <sz val="14"/>
        <color theme="1"/>
        <rFont val="Aptos Narrow"/>
        <family val="2"/>
        <scheme val="minor"/>
      </rPr>
      <t>tidak boleh berbeda</t>
    </r>
    <r>
      <rPr>
        <sz val="14"/>
        <color theme="1"/>
        <rFont val="Aptos Narrow"/>
        <family val="2"/>
        <scheme val="minor"/>
      </rPr>
      <t xml:space="preserve">
3. Bisa menempatkan part ke tempat seharusnya
4. Operator dan Leader </t>
    </r>
    <r>
      <rPr>
        <b/>
        <sz val="14"/>
        <color theme="1"/>
        <rFont val="Aptos Narrow"/>
        <family val="2"/>
        <scheme val="minor"/>
      </rPr>
      <t>bisa membedakan</t>
    </r>
    <r>
      <rPr>
        <sz val="14"/>
        <color theme="1"/>
        <rFont val="Aptos Narrow"/>
        <family val="2"/>
        <scheme val="minor"/>
      </rPr>
      <t xml:space="preserve"> part yang </t>
    </r>
    <r>
      <rPr>
        <b/>
        <sz val="14"/>
        <color theme="1"/>
        <rFont val="Aptos Narrow"/>
        <family val="2"/>
        <scheme val="minor"/>
      </rPr>
      <t>belum</t>
    </r>
    <r>
      <rPr>
        <sz val="14"/>
        <color theme="1"/>
        <rFont val="Aptos Narrow"/>
        <family val="2"/>
        <scheme val="minor"/>
      </rPr>
      <t xml:space="preserve"> dan </t>
    </r>
    <r>
      <rPr>
        <b/>
        <sz val="14"/>
        <color theme="1"/>
        <rFont val="Aptos Narrow"/>
        <family val="2"/>
        <scheme val="minor"/>
      </rPr>
      <t>sudah</t>
    </r>
    <r>
      <rPr>
        <sz val="14"/>
        <color theme="1"/>
        <rFont val="Aptos Narrow"/>
        <family val="2"/>
        <scheme val="minor"/>
      </rPr>
      <t xml:space="preserve"> diproses (melalui marking atau dsb)
5. Leader cek N=1 dan ada record</t>
    </r>
  </si>
  <si>
    <r>
      <t xml:space="preserve">1. Member </t>
    </r>
    <r>
      <rPr>
        <b/>
        <sz val="14"/>
        <color theme="1"/>
        <rFont val="Aptos Narrow"/>
        <family val="2"/>
        <scheme val="minor"/>
      </rPr>
      <t xml:space="preserve">bisa menjelaskan </t>
    </r>
    <r>
      <rPr>
        <sz val="14"/>
        <color theme="1"/>
        <rFont val="Aptos Narrow"/>
        <family val="2"/>
        <scheme val="minor"/>
      </rPr>
      <t xml:space="preserve">tempat penempatan part
2. Member paham untuk </t>
    </r>
    <r>
      <rPr>
        <b/>
        <sz val="14"/>
        <color theme="1"/>
        <rFont val="Aptos Narrow"/>
        <family val="2"/>
        <scheme val="minor"/>
      </rPr>
      <t>perbedaan part</t>
    </r>
    <r>
      <rPr>
        <sz val="14"/>
        <color theme="1"/>
        <rFont val="Aptos Narrow"/>
        <family val="2"/>
        <scheme val="minor"/>
      </rPr>
      <t xml:space="preserve"> yang </t>
    </r>
    <r>
      <rPr>
        <b/>
        <sz val="14"/>
        <color theme="1"/>
        <rFont val="Aptos Narrow"/>
        <family val="2"/>
        <scheme val="minor"/>
      </rPr>
      <t>belum</t>
    </r>
    <r>
      <rPr>
        <sz val="14"/>
        <color theme="1"/>
        <rFont val="Aptos Narrow"/>
        <family val="2"/>
        <scheme val="minor"/>
      </rPr>
      <t xml:space="preserve"> dan </t>
    </r>
    <r>
      <rPr>
        <b/>
        <sz val="14"/>
        <color theme="1"/>
        <rFont val="Aptos Narrow"/>
        <family val="2"/>
        <scheme val="minor"/>
      </rPr>
      <t>sudah</t>
    </r>
    <r>
      <rPr>
        <sz val="14"/>
        <color theme="1"/>
        <rFont val="Aptos Narrow"/>
        <family val="2"/>
        <scheme val="minor"/>
      </rPr>
      <t xml:space="preserve"> diproses
3. Member paham terkait pentingnya </t>
    </r>
    <r>
      <rPr>
        <i/>
        <sz val="14"/>
        <color theme="1"/>
        <rFont val="Aptos Narrow"/>
        <family val="2"/>
        <scheme val="minor"/>
      </rPr>
      <t>preventive wrong supply problem 
4</t>
    </r>
    <r>
      <rPr>
        <sz val="14"/>
        <color theme="1"/>
        <rFont val="Aptos Narrow"/>
        <family val="2"/>
        <scheme val="minor"/>
      </rPr>
      <t xml:space="preserve">. Jika ada part tanpa identitas dan ada di area yang tidak seharusnya, Operator harus tau harus ngapain </t>
    </r>
  </si>
  <si>
    <t>Apakah ada WI/SOP handling Operator baru / pindahan / pengganti yang jelas untuk masing-masing shop dan masing-masing proses?</t>
  </si>
  <si>
    <t>Ada Materi Edukasi yang jelas mengenai Pekerjaan di masing-masing shop</t>
  </si>
  <si>
    <r>
      <t xml:space="preserve">Terdapat aturan/rule terkait penanganan :
1. Operator </t>
    </r>
    <r>
      <rPr>
        <b/>
        <sz val="14"/>
        <color theme="1"/>
        <rFont val="Aptos Narrow"/>
        <family val="2"/>
        <scheme val="minor"/>
      </rPr>
      <t>Baru</t>
    </r>
    <r>
      <rPr>
        <sz val="14"/>
        <color theme="1"/>
        <rFont val="Aptos Narrow"/>
        <family val="2"/>
        <scheme val="minor"/>
      </rPr>
      <t xml:space="preserve">
2. Operator </t>
    </r>
    <r>
      <rPr>
        <b/>
        <sz val="14"/>
        <color theme="1"/>
        <rFont val="Aptos Narrow"/>
        <family val="2"/>
        <scheme val="minor"/>
      </rPr>
      <t>Pindahan</t>
    </r>
    <r>
      <rPr>
        <sz val="14"/>
        <color theme="1"/>
        <rFont val="Aptos Narrow"/>
        <family val="2"/>
        <scheme val="minor"/>
      </rPr>
      <t xml:space="preserve">
3. Operator </t>
    </r>
    <r>
      <rPr>
        <b/>
        <sz val="14"/>
        <color theme="1"/>
        <rFont val="Aptos Narrow"/>
        <family val="2"/>
        <scheme val="minor"/>
      </rPr>
      <t>Pengganti</t>
    </r>
    <r>
      <rPr>
        <sz val="14"/>
        <color theme="1"/>
        <rFont val="Aptos Narrow"/>
        <family val="2"/>
        <scheme val="minor"/>
      </rPr>
      <t xml:space="preserve">
4. Operator sudah mau </t>
    </r>
    <r>
      <rPr>
        <b/>
        <sz val="14"/>
        <color theme="1"/>
        <rFont val="Aptos Narrow"/>
        <family val="2"/>
        <scheme val="minor"/>
      </rPr>
      <t>Habis Kontrak</t>
    </r>
    <r>
      <rPr>
        <sz val="14"/>
        <color theme="1"/>
        <rFont val="Aptos Narrow"/>
        <family val="2"/>
        <scheme val="minor"/>
      </rPr>
      <t xml:space="preserve"> (Risk Management)
5. Operator (current mengalami </t>
    </r>
    <r>
      <rPr>
        <b/>
        <sz val="14"/>
        <color theme="1"/>
        <rFont val="Aptos Narrow"/>
        <family val="2"/>
        <scheme val="minor"/>
      </rPr>
      <t>spesial case</t>
    </r>
    <r>
      <rPr>
        <sz val="14"/>
        <color theme="1"/>
        <rFont val="Aptos Narrow"/>
        <family val="2"/>
        <scheme val="minor"/>
      </rPr>
      <t xml:space="preserve"> dalam kurun waktu berdekatan)
Aturan/rule harus jelas dari awal penerimaan, Edukasi (inclass dan Genba), Evaluasi (inclass dan Genba), Monitoring, sampai dengan Judgement Akhir</t>
    </r>
  </si>
  <si>
    <t>Apakah Kontrol secara berkala dijalankan?
(Operator dan leader)</t>
  </si>
  <si>
    <t>Operator telah di-edukasi</t>
  </si>
  <si>
    <r>
      <t xml:space="preserve">Telah </t>
    </r>
    <r>
      <rPr>
        <b/>
        <sz val="14"/>
        <color theme="1"/>
        <rFont val="Aptos Narrow"/>
        <family val="2"/>
        <scheme val="minor"/>
      </rPr>
      <t>dilakukan edukasi</t>
    </r>
    <r>
      <rPr>
        <sz val="14"/>
        <color theme="1"/>
        <rFont val="Aptos Narrow"/>
        <family val="2"/>
        <scheme val="minor"/>
      </rPr>
      <t xml:space="preserve"> ke Operator terkait, dengan terlampir:
a. Edukasi Teori:
    - </t>
    </r>
    <r>
      <rPr>
        <b/>
        <sz val="14"/>
        <color theme="1"/>
        <rFont val="Aptos Narrow"/>
        <family val="2"/>
        <scheme val="minor"/>
      </rPr>
      <t>Materi Edukasi</t>
    </r>
    <r>
      <rPr>
        <sz val="14"/>
        <color theme="1"/>
        <rFont val="Aptos Narrow"/>
        <family val="2"/>
        <scheme val="minor"/>
      </rPr>
      <t xml:space="preserve">
    - </t>
    </r>
    <r>
      <rPr>
        <b/>
        <sz val="14"/>
        <color theme="1"/>
        <rFont val="Aptos Narrow"/>
        <family val="2"/>
        <scheme val="minor"/>
      </rPr>
      <t>Bukti Hadir</t>
    </r>
    <r>
      <rPr>
        <sz val="14"/>
        <color theme="1"/>
        <rFont val="Aptos Narrow"/>
        <family val="2"/>
        <scheme val="minor"/>
      </rPr>
      <t xml:space="preserve">
    - </t>
    </r>
    <r>
      <rPr>
        <b/>
        <sz val="14"/>
        <color theme="1"/>
        <rFont val="Aptos Narrow"/>
        <family val="2"/>
        <scheme val="minor"/>
      </rPr>
      <t>Tanda tangan</t>
    </r>
    <r>
      <rPr>
        <sz val="14"/>
        <color theme="1"/>
        <rFont val="Aptos Narrow"/>
        <family val="2"/>
        <scheme val="minor"/>
      </rPr>
      <t xml:space="preserve"> Operator
    - </t>
    </r>
    <r>
      <rPr>
        <b/>
        <sz val="14"/>
        <color theme="1"/>
        <rFont val="Aptos Narrow"/>
        <family val="2"/>
        <scheme val="minor"/>
      </rPr>
      <t>Soal</t>
    </r>
    <r>
      <rPr>
        <sz val="14"/>
        <color theme="1"/>
        <rFont val="Aptos Narrow"/>
        <family val="2"/>
        <scheme val="minor"/>
      </rPr>
      <t xml:space="preserve"> / </t>
    </r>
    <r>
      <rPr>
        <b/>
        <sz val="14"/>
        <color theme="1"/>
        <rFont val="Aptos Narrow"/>
        <family val="2"/>
        <scheme val="minor"/>
      </rPr>
      <t>Test</t>
    </r>
    <r>
      <rPr>
        <sz val="14"/>
        <color theme="1"/>
        <rFont val="Aptos Narrow"/>
        <family val="2"/>
        <scheme val="minor"/>
      </rPr>
      <t xml:space="preserve"> Edukasi
    - </t>
    </r>
    <r>
      <rPr>
        <b/>
        <sz val="14"/>
        <color theme="1"/>
        <rFont val="Aptos Narrow"/>
        <family val="2"/>
        <scheme val="minor"/>
      </rPr>
      <t>Record</t>
    </r>
    <r>
      <rPr>
        <sz val="14"/>
        <color theme="1"/>
        <rFont val="Aptos Narrow"/>
        <family val="2"/>
        <scheme val="minor"/>
      </rPr>
      <t xml:space="preserve"> Edukasi
    - </t>
    </r>
    <r>
      <rPr>
        <b/>
        <sz val="14"/>
        <color theme="1"/>
        <rFont val="Aptos Narrow"/>
        <family val="2"/>
        <scheme val="minor"/>
      </rPr>
      <t>Hasil</t>
    </r>
    <r>
      <rPr>
        <sz val="14"/>
        <color theme="1"/>
        <rFont val="Aptos Narrow"/>
        <family val="2"/>
        <scheme val="minor"/>
      </rPr>
      <t xml:space="preserve"> Evaluasi (Nilai / Score)
    - Planning Edukasi </t>
    </r>
    <r>
      <rPr>
        <b/>
        <sz val="14"/>
        <color theme="1"/>
        <rFont val="Aptos Narrow"/>
        <family val="2"/>
        <scheme val="minor"/>
      </rPr>
      <t>berkala</t>
    </r>
    <r>
      <rPr>
        <sz val="14"/>
        <color theme="1"/>
        <rFont val="Aptos Narrow"/>
        <family val="2"/>
        <scheme val="minor"/>
      </rPr>
      <t xml:space="preserve">
b. Edukasi Praktek (OJT):
    - </t>
    </r>
    <r>
      <rPr>
        <b/>
        <sz val="14"/>
        <color theme="1"/>
        <rFont val="Aptos Narrow"/>
        <family val="2"/>
        <scheme val="minor"/>
      </rPr>
      <t>Materi</t>
    </r>
    <r>
      <rPr>
        <sz val="14"/>
        <color theme="1"/>
        <rFont val="Aptos Narrow"/>
        <family val="2"/>
        <scheme val="minor"/>
      </rPr>
      <t xml:space="preserve"> dan </t>
    </r>
    <r>
      <rPr>
        <b/>
        <sz val="14"/>
        <color theme="1"/>
        <rFont val="Aptos Narrow"/>
        <family val="2"/>
        <scheme val="minor"/>
      </rPr>
      <t>Checksheet</t>
    </r>
    <r>
      <rPr>
        <sz val="14"/>
        <color theme="1"/>
        <rFont val="Aptos Narrow"/>
        <family val="2"/>
        <scheme val="minor"/>
      </rPr>
      <t xml:space="preserve"> OJT
    - </t>
    </r>
    <r>
      <rPr>
        <b/>
        <sz val="14"/>
        <color theme="1"/>
        <rFont val="Aptos Narrow"/>
        <family val="2"/>
        <scheme val="minor"/>
      </rPr>
      <t>Hasil</t>
    </r>
    <r>
      <rPr>
        <sz val="14"/>
        <color theme="1"/>
        <rFont val="Aptos Narrow"/>
        <family val="2"/>
        <scheme val="minor"/>
      </rPr>
      <t xml:space="preserve"> Observasi/Evaluasi (Nilai / Score) oleh Leader
    - Refreshment OJT </t>
    </r>
    <r>
      <rPr>
        <b/>
        <sz val="14"/>
        <color theme="1"/>
        <rFont val="Aptos Narrow"/>
        <family val="2"/>
        <scheme val="minor"/>
      </rPr>
      <t>berkala</t>
    </r>
    <r>
      <rPr>
        <sz val="14"/>
        <color theme="1"/>
        <rFont val="Aptos Narrow"/>
        <family val="2"/>
        <scheme val="minor"/>
      </rPr>
      <t xml:space="preserve">
Record edukasi disimpan</t>
    </r>
  </si>
  <si>
    <r>
      <t xml:space="preserve">1. Ada Skill Map Operator yang jelas, ter-update dan ada approval
2. Terdapat aktivitas pengecekan kepatuhan Operator, metode:
    - Terdapat schedule pengecekan ke operator (jika dalam hari Atasan tidak bisa melakukan pengecekan ke semua operator)
    - Dilihat hasil pengecekan aktual oleh atasan (berdasarkan checksheet yang ada)
    - Apabila ada abnormal/temuan dari hasil pengecekan maka dilakukan action dan record
3. Apabila ada problem, langsung dibimbing dan diedukasi saat itu juga oleh </t>
    </r>
    <r>
      <rPr>
        <b/>
        <sz val="14"/>
        <color theme="1"/>
        <rFont val="Aptos Narrow"/>
        <family val="2"/>
        <scheme val="minor"/>
      </rPr>
      <t>Leader</t>
    </r>
  </si>
  <si>
    <t>Apakah terdapat review secara periodical untuk edukasi dan evaluasi semua M/P?</t>
  </si>
  <si>
    <t>Review secara periodical / perbaikan berkelanjutan untuk level up</t>
  </si>
  <si>
    <t>Kontrol Perubahan dapat dimonitor secara cepat dan tidak ada masalah</t>
  </si>
  <si>
    <t>1. Kontrol secara konsisten oleh Management
2. Tidak ada masalah terkait Human Error</t>
  </si>
  <si>
    <t>Ada Record Edukasi</t>
  </si>
  <si>
    <t>1. Implementasi jika ada operator baru/pindahan/pengganti sudah ikut rule
2. Record dan bukti dari edukasi ada dan jelas 
Metode : 
Sampling check Ada bukti hadir sampai dengan tanda tangan operator dari semua materi/hari dilakukan edukasi
3. Record dan bukti dari edukasi disimpan dengan rapi :
Metode :
Sampling check untuk operator baru/pindahan</t>
  </si>
  <si>
    <r>
      <rPr>
        <b/>
        <sz val="14"/>
        <color theme="1"/>
        <rFont val="Aptos Narrow"/>
        <family val="2"/>
        <scheme val="minor"/>
      </rPr>
      <t>Materi Edukasi untuk operator ada dan jelas</t>
    </r>
    <r>
      <rPr>
        <sz val="14"/>
        <color theme="1"/>
        <rFont val="Aptos Narrow"/>
        <family val="2"/>
        <scheme val="minor"/>
      </rPr>
      <t xml:space="preserve">
Contoh :
a. Operator baru : Visi Misi Perusahaan, aturan perusahaan, YPQ dasar, aturan yang ada di proses (Cara kerja, pengisian Checksheet, WI, Kerja tuntas, dll) --&gt; dalam bentuk inclass sampai dengan OJT
b. Operator Pindahan : YPQ dasar, aturan yang ada di proses (Cara kerja, pengisian Checksheet, WI, Kerja tuntas, dll) --&gt; dalam bentuk inclass sampai dengan OJT
c. Operator pengganti : aturan yang ada di proses (Cara kerja, pengisian Checksheet, WI, Kerja tuntas, dll) --&gt; dalam bentuk inclass sampai dengan OJT</t>
    </r>
  </si>
  <si>
    <t>OK</t>
  </si>
  <si>
    <t>NG</t>
  </si>
  <si>
    <t>Remarks</t>
  </si>
  <si>
    <t>Value</t>
  </si>
  <si>
    <t>No Process</t>
  </si>
  <si>
    <t>Remarks / Temuan</t>
  </si>
  <si>
    <t>Process</t>
  </si>
  <si>
    <t>Level per Princip</t>
  </si>
  <si>
    <t>Level Process (Min.)</t>
  </si>
  <si>
    <t>Level Process (Avg.)</t>
  </si>
  <si>
    <t>Production</t>
  </si>
  <si>
    <t>Final Inspection</t>
  </si>
  <si>
    <t>Storage</t>
  </si>
  <si>
    <t>Prepare Delivery</t>
  </si>
  <si>
    <t>Level MSK</t>
  </si>
  <si>
    <t>Level KT</t>
  </si>
  <si>
    <t>Level PNG</t>
  </si>
  <si>
    <t>Level PSSP</t>
  </si>
  <si>
    <t>Level KAO</t>
  </si>
  <si>
    <t>:</t>
  </si>
  <si>
    <t>MSK :</t>
  </si>
  <si>
    <t>KT :</t>
  </si>
  <si>
    <t>PNG :</t>
  </si>
  <si>
    <t>PSSP :</t>
  </si>
  <si>
    <t>KAO :</t>
  </si>
  <si>
    <t>Min.</t>
  </si>
  <si>
    <t>Avg</t>
  </si>
  <si>
    <t>Level (Principal)</t>
  </si>
  <si>
    <t>Level (Process)</t>
  </si>
  <si>
    <r>
      <t xml:space="preserve">(etc, ….) </t>
    </r>
    <r>
      <rPr>
        <i/>
        <sz val="8"/>
        <color theme="1"/>
        <rFont val="Aptos Narrow"/>
        <family val="2"/>
        <scheme val="minor"/>
      </rPr>
      <t>silahkan ditambahkan sesuai mapping process</t>
    </r>
  </si>
  <si>
    <t>Final Level (Avg)</t>
  </si>
  <si>
    <t>Final Level (Min)</t>
  </si>
  <si>
    <t>Min Level per Principal (All Process)</t>
  </si>
</sst>
</file>

<file path=xl/styles.xml><?xml version="1.0" encoding="utf-8"?>
<styleSheet xmlns="http://schemas.openxmlformats.org/spreadsheetml/2006/main" xmlns:mc="http://schemas.openxmlformats.org/markup-compatibility/2006" xmlns:x14ac="http://schemas.microsoft.com/office/spreadsheetml/2009/9/ac" mc:Ignorable="x14ac">
  <fonts count="26">
    <font>
      <sz val="11"/>
      <color theme="1"/>
      <name val="Aptos Narrow"/>
      <family val="2"/>
      <scheme val="minor"/>
    </font>
    <font>
      <b/>
      <sz val="14"/>
      <color theme="1"/>
      <name val="Aptos Narrow"/>
      <family val="2"/>
      <scheme val="minor"/>
    </font>
    <font>
      <b/>
      <sz val="14"/>
      <color rgb="FF0000FF"/>
      <name val="Aptos Narrow"/>
      <family val="2"/>
      <scheme val="minor"/>
    </font>
    <font>
      <b/>
      <sz val="14"/>
      <color rgb="FFFF0000"/>
      <name val="Aptos Narrow"/>
      <family val="2"/>
      <scheme val="minor"/>
    </font>
    <font>
      <b/>
      <sz val="16"/>
      <color theme="1"/>
      <name val="Aptos Narrow"/>
      <family val="2"/>
      <scheme val="minor"/>
    </font>
    <font>
      <b/>
      <sz val="18"/>
      <color theme="1"/>
      <name val="Aptos Narrow"/>
      <family val="2"/>
      <scheme val="minor"/>
    </font>
    <font>
      <sz val="14"/>
      <color theme="1"/>
      <name val="Aptos Narrow"/>
      <family val="2"/>
      <scheme val="minor"/>
    </font>
    <font>
      <b/>
      <i/>
      <sz val="14"/>
      <color theme="1"/>
      <name val="Aptos Narrow"/>
      <family val="2"/>
      <scheme val="minor"/>
    </font>
    <font>
      <i/>
      <sz val="14"/>
      <color theme="1"/>
      <name val="Aptos Narrow"/>
      <family val="2"/>
      <scheme val="minor"/>
    </font>
    <font>
      <sz val="15"/>
      <color theme="1"/>
      <name val="Aptos Narrow"/>
      <family val="2"/>
      <scheme val="minor"/>
    </font>
    <font>
      <b/>
      <sz val="15"/>
      <color theme="1"/>
      <name val="Aptos Narrow"/>
      <family val="2"/>
      <scheme val="minor"/>
    </font>
    <font>
      <b/>
      <sz val="16"/>
      <color theme="0"/>
      <name val="Aptos Narrow"/>
      <family val="2"/>
      <scheme val="minor"/>
    </font>
    <font>
      <sz val="11"/>
      <color theme="1"/>
      <name val="Abadi"/>
      <family val="2"/>
    </font>
    <font>
      <sz val="14"/>
      <color rgb="FFFF0000"/>
      <name val="Aptos Narrow"/>
      <family val="2"/>
      <scheme val="minor"/>
    </font>
    <font>
      <b/>
      <sz val="24"/>
      <color theme="0"/>
      <name val="Aptos Narrow"/>
      <family val="2"/>
      <scheme val="minor"/>
    </font>
    <font>
      <b/>
      <sz val="28"/>
      <color theme="1"/>
      <name val="Aptos Narrow"/>
      <family val="2"/>
      <scheme val="minor"/>
    </font>
    <font>
      <b/>
      <sz val="11"/>
      <color theme="0"/>
      <name val="Aptos Narrow"/>
      <family val="2"/>
      <scheme val="minor"/>
    </font>
    <font>
      <sz val="24"/>
      <color theme="1"/>
      <name val="Aptos Narrow"/>
      <family val="2"/>
      <scheme val="minor"/>
    </font>
    <font>
      <b/>
      <sz val="36"/>
      <color theme="0"/>
      <name val="Aptos Narrow"/>
      <family val="2"/>
      <scheme val="minor"/>
    </font>
    <font>
      <b/>
      <sz val="11"/>
      <name val="Aptos Narrow"/>
      <family val="2"/>
      <scheme val="minor"/>
    </font>
    <font>
      <b/>
      <sz val="11"/>
      <color theme="1"/>
      <name val="Aptos Narrow"/>
      <family val="2"/>
      <scheme val="minor"/>
    </font>
    <font>
      <b/>
      <sz val="24"/>
      <color theme="1"/>
      <name val="Aptos Narrow"/>
      <family val="2"/>
      <scheme val="minor"/>
    </font>
    <font>
      <b/>
      <sz val="20"/>
      <color theme="1"/>
      <name val="Aptos Narrow"/>
      <family val="2"/>
      <scheme val="minor"/>
    </font>
    <font>
      <b/>
      <sz val="10"/>
      <color theme="0"/>
      <name val="Aptos Narrow"/>
      <family val="2"/>
      <scheme val="minor"/>
    </font>
    <font>
      <sz val="8"/>
      <color theme="1"/>
      <name val="Aptos Narrow"/>
      <family val="2"/>
      <scheme val="minor"/>
    </font>
    <font>
      <i/>
      <sz val="8"/>
      <color theme="1"/>
      <name val="Aptos Narrow"/>
      <family val="2"/>
      <scheme val="minor"/>
    </font>
  </fonts>
  <fills count="16">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00206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499984740745262"/>
        <bgColor indexed="64"/>
      </patternFill>
    </fill>
    <fill>
      <patternFill patternType="solid">
        <fgColor theme="5" tint="-0.249977111117893"/>
        <bgColor indexed="64"/>
      </patternFill>
    </fill>
    <fill>
      <patternFill patternType="solid">
        <fgColor rgb="FF0000FF"/>
        <bgColor indexed="64"/>
      </patternFill>
    </fill>
    <fill>
      <patternFill patternType="solid">
        <fgColor theme="0" tint="-4.9989318521683403E-2"/>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84">
    <xf numFmtId="0" fontId="0" fillId="0" borderId="0" xfId="0"/>
    <xf numFmtId="0" fontId="6" fillId="0" borderId="0" xfId="0" applyFont="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xf numFmtId="0" fontId="9" fillId="3" borderId="1" xfId="0" applyFont="1" applyFill="1" applyBorder="1" applyAlignment="1">
      <alignment horizontal="center"/>
    </xf>
    <xf numFmtId="0" fontId="10" fillId="3" borderId="1" xfId="0" applyFont="1" applyFill="1" applyBorder="1" applyAlignment="1">
      <alignment horizontal="center" vertical="center"/>
    </xf>
    <xf numFmtId="0" fontId="9" fillId="3" borderId="1" xfId="0" applyFont="1" applyFill="1" applyBorder="1"/>
    <xf numFmtId="0" fontId="11" fillId="5" borderId="1" xfId="0" applyFont="1" applyFill="1" applyBorder="1" applyAlignment="1">
      <alignment horizontal="center" vertical="center"/>
    </xf>
    <xf numFmtId="0" fontId="11" fillId="5"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left" vertical="center"/>
    </xf>
    <xf numFmtId="0" fontId="12" fillId="9" borderId="1" xfId="0" applyFont="1" applyFill="1" applyBorder="1" applyAlignment="1">
      <alignment horizontal="center" vertical="center"/>
    </xf>
    <xf numFmtId="0" fontId="12" fillId="0" borderId="0" xfId="0" applyFont="1"/>
    <xf numFmtId="0" fontId="12" fillId="0" borderId="1" xfId="0" applyFont="1" applyBorder="1" applyAlignment="1">
      <alignment horizontal="center" vertical="center"/>
    </xf>
    <xf numFmtId="0" fontId="12" fillId="0" borderId="1" xfId="0" applyFont="1" applyBorder="1" applyAlignment="1">
      <alignment horizontal="center"/>
    </xf>
    <xf numFmtId="0" fontId="2" fillId="0" borderId="1" xfId="0" applyFont="1" applyBorder="1" applyAlignment="1">
      <alignment horizontal="right" vertical="center" wrapText="1"/>
    </xf>
    <xf numFmtId="0" fontId="3" fillId="0" borderId="1" xfId="0" applyFont="1" applyBorder="1" applyAlignment="1">
      <alignment horizontal="right" vertical="center" wrapText="1"/>
    </xf>
    <xf numFmtId="0" fontId="13" fillId="0" borderId="1" xfId="0" applyFont="1" applyBorder="1" applyAlignment="1">
      <alignment horizontal="center" vertical="center"/>
    </xf>
    <xf numFmtId="0" fontId="6" fillId="0" borderId="1" xfId="0" applyFont="1" applyBorder="1" applyAlignment="1" applyProtection="1">
      <alignment horizontal="center" vertical="center"/>
      <protection locked="0"/>
    </xf>
    <xf numFmtId="0" fontId="0" fillId="0" borderId="0" xfId="0" applyAlignment="1">
      <alignment horizontal="center" vertical="center"/>
    </xf>
    <xf numFmtId="0" fontId="0" fillId="0" borderId="1" xfId="0" applyBorder="1" applyAlignment="1">
      <alignment horizontal="center" vertical="center"/>
    </xf>
    <xf numFmtId="0" fontId="18" fillId="0" borderId="0" xfId="0" applyFont="1" applyAlignment="1">
      <alignment vertical="center"/>
    </xf>
    <xf numFmtId="0" fontId="9" fillId="5" borderId="0" xfId="0" applyFont="1" applyFill="1" applyAlignment="1">
      <alignment horizontal="center" vertical="center"/>
    </xf>
    <xf numFmtId="2" fontId="22" fillId="0" borderId="1" xfId="0" applyNumberFormat="1" applyFont="1" applyBorder="1" applyAlignment="1">
      <alignment horizontal="center" vertical="center"/>
    </xf>
    <xf numFmtId="0" fontId="10" fillId="0" borderId="1" xfId="0" applyFont="1" applyBorder="1" applyAlignment="1">
      <alignment horizontal="center" vertical="center"/>
    </xf>
    <xf numFmtId="0" fontId="22" fillId="6" borderId="1" xfId="0" applyFont="1" applyFill="1" applyBorder="1" applyAlignment="1">
      <alignment horizontal="right" vertical="center"/>
    </xf>
    <xf numFmtId="0" fontId="21" fillId="10" borderId="11" xfId="0" applyFont="1" applyFill="1" applyBorder="1" applyAlignment="1">
      <alignment vertical="center" wrapText="1"/>
    </xf>
    <xf numFmtId="0" fontId="14" fillId="5" borderId="11" xfId="0" applyFont="1" applyFill="1" applyBorder="1" applyAlignment="1">
      <alignment vertical="center" wrapText="1"/>
    </xf>
    <xf numFmtId="0" fontId="19" fillId="0" borderId="1" xfId="0" applyFont="1" applyBorder="1" applyAlignment="1">
      <alignment horizontal="center" vertical="center"/>
    </xf>
    <xf numFmtId="0" fontId="20" fillId="0" borderId="1" xfId="0" applyFont="1" applyBorder="1" applyAlignment="1">
      <alignment horizontal="center"/>
    </xf>
    <xf numFmtId="0" fontId="0" fillId="0" borderId="1" xfId="0" applyBorder="1" applyAlignment="1">
      <alignment horizontal="center"/>
    </xf>
    <xf numFmtId="0" fontId="0" fillId="3" borderId="1" xfId="0" applyFill="1" applyBorder="1" applyAlignment="1">
      <alignment horizontal="center" vertical="center"/>
    </xf>
    <xf numFmtId="0" fontId="19" fillId="0" borderId="0" xfId="0" applyFont="1" applyAlignment="1">
      <alignment horizontal="center" vertical="center"/>
    </xf>
    <xf numFmtId="1" fontId="0" fillId="0" borderId="0" xfId="0" applyNumberFormat="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vertical="center"/>
    </xf>
    <xf numFmtId="0" fontId="0" fillId="15" borderId="1" xfId="0" applyFill="1" applyBorder="1" applyAlignment="1">
      <alignment horizontal="center" vertical="center"/>
    </xf>
    <xf numFmtId="0" fontId="0" fillId="15" borderId="1" xfId="0" applyFill="1" applyBorder="1" applyAlignment="1">
      <alignment vertical="center"/>
    </xf>
    <xf numFmtId="0" fontId="6" fillId="0" borderId="1" xfId="0" applyFont="1" applyBorder="1" applyAlignment="1">
      <alignment horizontal="left" vertical="center" wrapText="1"/>
    </xf>
    <xf numFmtId="0" fontId="21" fillId="10" borderId="2" xfId="0" applyFont="1" applyFill="1" applyBorder="1" applyAlignment="1">
      <alignment horizontal="left" vertical="center" wrapText="1"/>
    </xf>
    <xf numFmtId="0" fontId="21" fillId="10" borderId="4" xfId="0" applyFont="1" applyFill="1" applyBorder="1" applyAlignment="1">
      <alignment horizontal="left" vertical="center" wrapText="1"/>
    </xf>
    <xf numFmtId="2" fontId="15" fillId="0" borderId="1" xfId="0" applyNumberFormat="1" applyFont="1" applyBorder="1" applyAlignment="1">
      <alignment horizontal="center" vertical="center"/>
    </xf>
    <xf numFmtId="0" fontId="17" fillId="0" borderId="1" xfId="0" applyFont="1" applyBorder="1" applyAlignment="1">
      <alignment horizontal="center" vertical="center"/>
    </xf>
    <xf numFmtId="0" fontId="17" fillId="0" borderId="6" xfId="0" applyFont="1" applyBorder="1" applyAlignment="1" applyProtection="1">
      <alignment horizontal="left" vertical="center"/>
      <protection locked="0"/>
    </xf>
    <xf numFmtId="0" fontId="17" fillId="0" borderId="5" xfId="0" applyFont="1" applyBorder="1" applyAlignment="1" applyProtection="1">
      <alignment horizontal="left" vertical="center"/>
      <protection locked="0"/>
    </xf>
    <xf numFmtId="0" fontId="17" fillId="0" borderId="7" xfId="0" applyFont="1" applyBorder="1" applyAlignment="1" applyProtection="1">
      <alignment horizontal="left" vertical="center"/>
      <protection locked="0"/>
    </xf>
    <xf numFmtId="0" fontId="17" fillId="0" borderId="8" xfId="0" applyFont="1" applyBorder="1" applyAlignment="1" applyProtection="1">
      <alignment horizontal="left" vertical="center"/>
      <protection locked="0"/>
    </xf>
    <xf numFmtId="0" fontId="17" fillId="0" borderId="9" xfId="0" applyFont="1" applyBorder="1" applyAlignment="1" applyProtection="1">
      <alignment horizontal="left" vertical="center"/>
      <protection locked="0"/>
    </xf>
    <xf numFmtId="0" fontId="17" fillId="0" borderId="10" xfId="0" applyFont="1" applyBorder="1" applyAlignment="1" applyProtection="1">
      <alignment horizontal="left" vertical="center"/>
      <protection locked="0"/>
    </xf>
    <xf numFmtId="0" fontId="14" fillId="5" borderId="5" xfId="0" applyFont="1" applyFill="1" applyBorder="1" applyAlignment="1">
      <alignment horizontal="left" vertical="center" wrapText="1"/>
    </xf>
    <xf numFmtId="0" fontId="14" fillId="5" borderId="0" xfId="0" applyFont="1" applyFill="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6" fillId="0" borderId="2" xfId="0" applyFont="1" applyBorder="1" applyAlignment="1" applyProtection="1">
      <alignment horizontal="center" vertical="center"/>
      <protection locked="0"/>
    </xf>
    <xf numFmtId="0" fontId="6" fillId="0" borderId="4" xfId="0" applyFont="1" applyBorder="1" applyAlignment="1" applyProtection="1">
      <alignment horizontal="center" vertical="center"/>
      <protection locked="0"/>
    </xf>
    <xf numFmtId="2" fontId="15" fillId="0" borderId="2" xfId="0" applyNumberFormat="1" applyFont="1" applyBorder="1" applyAlignment="1">
      <alignment horizontal="center" vertical="center"/>
    </xf>
    <xf numFmtId="2" fontId="15" fillId="0" borderId="4" xfId="0" applyNumberFormat="1" applyFont="1" applyBorder="1" applyAlignment="1">
      <alignment horizontal="center" vertical="center"/>
    </xf>
    <xf numFmtId="0" fontId="18" fillId="5" borderId="0" xfId="0" applyFont="1" applyFill="1" applyAlignment="1">
      <alignment horizontal="left" vertical="center" wrapText="1"/>
    </xf>
    <xf numFmtId="0" fontId="5" fillId="4" borderId="1" xfId="0" applyFont="1" applyFill="1" applyBorder="1" applyAlignment="1">
      <alignment horizontal="center" vertical="center"/>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6" fillId="0" borderId="2" xfId="0" applyFont="1" applyBorder="1" applyAlignment="1">
      <alignment horizontal="left" vertical="center" wrapText="1"/>
    </xf>
    <xf numFmtId="0" fontId="6" fillId="0" borderId="4" xfId="0" applyFont="1" applyBorder="1" applyAlignment="1">
      <alignment horizontal="left" vertical="center" wrapText="1"/>
    </xf>
    <xf numFmtId="0" fontId="4" fillId="4"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0" borderId="3" xfId="0" applyFont="1" applyBorder="1" applyAlignment="1" applyProtection="1">
      <alignment horizontal="center" vertical="center"/>
      <protection locked="0"/>
    </xf>
    <xf numFmtId="2" fontId="15" fillId="0" borderId="3" xfId="0" applyNumberFormat="1" applyFont="1" applyBorder="1" applyAlignment="1">
      <alignment horizontal="center" vertical="center"/>
    </xf>
    <xf numFmtId="0" fontId="5" fillId="8" borderId="1" xfId="0" applyFont="1" applyFill="1" applyBorder="1" applyAlignment="1">
      <alignment horizontal="center" vertical="center"/>
    </xf>
    <xf numFmtId="0" fontId="6" fillId="0" borderId="3" xfId="0" applyFont="1" applyBorder="1" applyAlignment="1">
      <alignment horizontal="left" vertical="center" wrapText="1"/>
    </xf>
    <xf numFmtId="0" fontId="6" fillId="0" borderId="3" xfId="0" applyFont="1" applyBorder="1" applyAlignment="1">
      <alignment horizontal="left" vertical="center"/>
    </xf>
    <xf numFmtId="0" fontId="6" fillId="0" borderId="4" xfId="0" applyFont="1" applyBorder="1" applyAlignment="1">
      <alignment horizontal="left" vertical="center"/>
    </xf>
    <xf numFmtId="0" fontId="5" fillId="7" borderId="1" xfId="0" applyFont="1" applyFill="1" applyBorder="1" applyAlignment="1">
      <alignment horizontal="center" vertical="center"/>
    </xf>
    <xf numFmtId="0" fontId="5" fillId="6" borderId="1" xfId="0" applyFont="1" applyFill="1" applyBorder="1" applyAlignment="1">
      <alignment horizontal="center" vertical="center"/>
    </xf>
    <xf numFmtId="0" fontId="23" fillId="11" borderId="1" xfId="0" applyFont="1" applyFill="1" applyBorder="1" applyAlignment="1">
      <alignment horizontal="center" vertical="center" textRotation="90"/>
    </xf>
    <xf numFmtId="0" fontId="16" fillId="5" borderId="1" xfId="0" applyFont="1" applyFill="1" applyBorder="1" applyAlignment="1">
      <alignment horizontal="center" vertical="center"/>
    </xf>
    <xf numFmtId="0" fontId="20" fillId="6" borderId="1" xfId="0" applyFont="1" applyFill="1" applyBorder="1" applyAlignment="1">
      <alignment horizontal="center" vertical="center" textRotation="90"/>
    </xf>
    <xf numFmtId="0" fontId="24" fillId="14" borderId="1" xfId="0" applyFont="1" applyFill="1" applyBorder="1" applyAlignment="1">
      <alignment horizontal="center" vertical="center" wrapText="1"/>
    </xf>
    <xf numFmtId="0" fontId="23" fillId="12" borderId="1" xfId="0" applyFont="1" applyFill="1" applyBorder="1" applyAlignment="1">
      <alignment horizontal="center" vertical="center" wrapText="1"/>
    </xf>
    <xf numFmtId="0" fontId="20" fillId="0" borderId="1" xfId="0" applyFont="1" applyBorder="1" applyAlignment="1">
      <alignment horizontal="center" vertical="center"/>
    </xf>
    <xf numFmtId="0" fontId="23" fillId="1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7</xdr:col>
      <xdr:colOff>152401</xdr:colOff>
      <xdr:row>8</xdr:row>
      <xdr:rowOff>566004</xdr:rowOff>
    </xdr:from>
    <xdr:ext cx="1360556" cy="953466"/>
    <xdr:sp macro="" textlink="">
      <xdr:nvSpPr>
        <xdr:cNvPr id="4" name="TextBox 3">
          <a:extLst>
            <a:ext uri="{FF2B5EF4-FFF2-40B4-BE49-F238E27FC236}">
              <a16:creationId xmlns:a16="http://schemas.microsoft.com/office/drawing/2014/main" xmlns="" id="{E6B25B06-B64A-494F-BB0B-FA892E52F687}"/>
            </a:ext>
          </a:extLst>
        </xdr:cNvPr>
        <xdr:cNvSpPr txBox="1"/>
      </xdr:nvSpPr>
      <xdr:spPr>
        <a:xfrm>
          <a:off x="8550966" y="2909982"/>
          <a:ext cx="1360556" cy="953466"/>
        </a:xfrm>
        <a:prstGeom prst="rect">
          <a:avLst/>
        </a:prstGeom>
        <a:solidFill>
          <a:schemeClr val="tx2">
            <a:lumMod val="10000"/>
            <a:lumOff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a:t>Diisi di Kolom </a:t>
          </a:r>
          <a:r>
            <a:rPr lang="en-US" sz="1100" b="1"/>
            <a:t>abu- abu</a:t>
          </a:r>
          <a:r>
            <a:rPr lang="en-US" sz="1100"/>
            <a:t> sesuai nilai yang ada di sheet "Checksheet</a:t>
          </a:r>
          <a:r>
            <a:rPr lang="en-US" sz="1100" baseline="0"/>
            <a:t> YPQD 2026"</a:t>
          </a:r>
          <a:endParaRPr lang="en-US" sz="1100"/>
        </a:p>
      </xdr:txBody>
    </xdr:sp>
    <xdr:clientData/>
  </xdr:oneCellAnchor>
  <xdr:oneCellAnchor>
    <xdr:from>
      <xdr:col>7</xdr:col>
      <xdr:colOff>133076</xdr:colOff>
      <xdr:row>8</xdr:row>
      <xdr:rowOff>66813</xdr:rowOff>
    </xdr:from>
    <xdr:ext cx="2453860" cy="436786"/>
    <xdr:sp macro="" textlink="">
      <xdr:nvSpPr>
        <xdr:cNvPr id="5" name="TextBox 4">
          <a:extLst>
            <a:ext uri="{FF2B5EF4-FFF2-40B4-BE49-F238E27FC236}">
              <a16:creationId xmlns:a16="http://schemas.microsoft.com/office/drawing/2014/main" xmlns="" id="{C33CE533-9902-464A-BB17-7CFA35A39DAC}"/>
            </a:ext>
          </a:extLst>
        </xdr:cNvPr>
        <xdr:cNvSpPr txBox="1"/>
      </xdr:nvSpPr>
      <xdr:spPr>
        <a:xfrm>
          <a:off x="8531641" y="2410791"/>
          <a:ext cx="2453860" cy="436786"/>
        </a:xfrm>
        <a:prstGeom prst="rect">
          <a:avLst/>
        </a:prstGeom>
        <a:solidFill>
          <a:schemeClr val="tx2">
            <a:lumMod val="10000"/>
            <a:lumOff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Diisi di Kolom </a:t>
          </a:r>
          <a:r>
            <a:rPr lang="en-US" sz="1100" b="1"/>
            <a:t>abu-abu</a:t>
          </a:r>
          <a:r>
            <a:rPr lang="en-US" sz="1100"/>
            <a:t> sesuai nilai yang ada di sheet "Checksheet</a:t>
          </a:r>
          <a:r>
            <a:rPr lang="en-US" sz="1100" baseline="0"/>
            <a:t> YPQD 2026"</a:t>
          </a:r>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pageSetUpPr fitToPage="1"/>
  </sheetPr>
  <dimension ref="A2:R104"/>
  <sheetViews>
    <sheetView tabSelected="1" view="pageBreakPreview" zoomScale="55" zoomScaleNormal="85" zoomScaleSheetLayoutView="55" workbookViewId="0">
      <pane xSplit="2" ySplit="3" topLeftCell="C91" activePane="bottomRight" state="frozen"/>
      <selection pane="topRight" activeCell="C1" sqref="C1"/>
      <selection pane="bottomLeft" activeCell="A3" sqref="A3"/>
      <selection pane="bottomRight" activeCell="R96" sqref="R96"/>
    </sheetView>
  </sheetViews>
  <sheetFormatPr defaultColWidth="8.75" defaultRowHeight="18.600000000000001"/>
  <cols>
    <col min="1" max="1" width="12.625" style="2" bestFit="1" customWidth="1"/>
    <col min="2" max="2" width="5.5" style="2" customWidth="1"/>
    <col min="3" max="3" width="14.875" style="3" customWidth="1"/>
    <col min="4" max="4" width="38.125" style="3" customWidth="1"/>
    <col min="5" max="5" width="6.5" style="2" customWidth="1"/>
    <col min="6" max="6" width="14.875" style="3" customWidth="1"/>
    <col min="7" max="7" width="38.125" style="3" customWidth="1"/>
    <col min="8" max="8" width="6.5" style="2" customWidth="1"/>
    <col min="9" max="9" width="14.875" style="3" customWidth="1"/>
    <col min="10" max="10" width="38.125" style="3" customWidth="1"/>
    <col min="11" max="11" width="6.5" style="2" customWidth="1"/>
    <col min="12" max="12" width="14.875" style="3" customWidth="1"/>
    <col min="13" max="13" width="38.125" style="3" customWidth="1"/>
    <col min="14" max="14" width="6.5" style="2" customWidth="1"/>
    <col min="15" max="15" width="14.875" style="3" customWidth="1"/>
    <col min="16" max="16" width="38.125" style="3" customWidth="1"/>
    <col min="17" max="17" width="6.5" style="2" customWidth="1"/>
    <col min="18" max="18" width="12.875" style="2" customWidth="1"/>
    <col min="19" max="16384" width="8.75" style="4"/>
  </cols>
  <sheetData>
    <row r="2" spans="1:18" ht="62.35">
      <c r="A2" s="8" t="s">
        <v>0</v>
      </c>
      <c r="B2" s="8" t="s">
        <v>13</v>
      </c>
      <c r="C2" s="67" t="s">
        <v>1</v>
      </c>
      <c r="D2" s="67"/>
      <c r="E2" s="67"/>
      <c r="F2" s="67" t="s">
        <v>2</v>
      </c>
      <c r="G2" s="67"/>
      <c r="H2" s="67"/>
      <c r="I2" s="67" t="s">
        <v>3</v>
      </c>
      <c r="J2" s="67"/>
      <c r="K2" s="67"/>
      <c r="L2" s="67" t="s">
        <v>4</v>
      </c>
      <c r="M2" s="67"/>
      <c r="N2" s="67"/>
      <c r="O2" s="67" t="s">
        <v>5</v>
      </c>
      <c r="P2" s="67"/>
      <c r="Q2" s="67"/>
      <c r="R2" s="9" t="s">
        <v>132</v>
      </c>
    </row>
    <row r="3" spans="1:18" ht="19.3">
      <c r="A3" s="5"/>
      <c r="B3" s="5"/>
      <c r="C3" s="6" t="s">
        <v>14</v>
      </c>
      <c r="D3" s="6" t="s">
        <v>15</v>
      </c>
      <c r="E3" s="6" t="s">
        <v>11</v>
      </c>
      <c r="F3" s="6" t="s">
        <v>14</v>
      </c>
      <c r="G3" s="6" t="s">
        <v>15</v>
      </c>
      <c r="H3" s="6" t="s">
        <v>11</v>
      </c>
      <c r="I3" s="6" t="s">
        <v>14</v>
      </c>
      <c r="J3" s="6" t="s">
        <v>15</v>
      </c>
      <c r="K3" s="6" t="s">
        <v>11</v>
      </c>
      <c r="L3" s="6" t="s">
        <v>14</v>
      </c>
      <c r="M3" s="6" t="s">
        <v>15</v>
      </c>
      <c r="N3" s="6" t="s">
        <v>11</v>
      </c>
      <c r="O3" s="6" t="s">
        <v>14</v>
      </c>
      <c r="P3" s="6" t="s">
        <v>15</v>
      </c>
      <c r="Q3" s="6" t="s">
        <v>11</v>
      </c>
      <c r="R3" s="7"/>
    </row>
    <row r="4" spans="1:18" ht="409.6">
      <c r="A4" s="76" t="s">
        <v>6</v>
      </c>
      <c r="B4" s="10">
        <v>1</v>
      </c>
      <c r="C4" s="42" t="s">
        <v>16</v>
      </c>
      <c r="D4" s="42" t="s">
        <v>23</v>
      </c>
      <c r="E4" s="22">
        <v>1</v>
      </c>
      <c r="F4" s="42" t="s">
        <v>21</v>
      </c>
      <c r="G4" s="42" t="s">
        <v>27</v>
      </c>
      <c r="H4" s="22">
        <v>0</v>
      </c>
      <c r="I4" s="42" t="s">
        <v>34</v>
      </c>
      <c r="J4" s="42" t="s">
        <v>35</v>
      </c>
      <c r="K4" s="22">
        <v>1</v>
      </c>
      <c r="L4" s="55" t="s">
        <v>38</v>
      </c>
      <c r="M4" s="55" t="s">
        <v>39</v>
      </c>
      <c r="N4" s="57"/>
      <c r="O4" s="55" t="s">
        <v>41</v>
      </c>
      <c r="P4" s="55" t="s">
        <v>42</v>
      </c>
      <c r="Q4" s="57"/>
      <c r="R4" s="59" t="e">
        <f>VALUE(IF(E9&gt;0,"0.00",IF(H9&gt;0,"1.00",IF(K9&gt;0,"2.00",IF(N9&gt;0,"3.00",IF(Q9&gt;0,"4.00","5.00"))))))</f>
        <v>#VALUE!</v>
      </c>
    </row>
    <row r="5" spans="1:18" ht="180.4">
      <c r="A5" s="76"/>
      <c r="B5" s="10">
        <v>2</v>
      </c>
      <c r="C5" s="42" t="s">
        <v>17</v>
      </c>
      <c r="D5" s="42" t="s">
        <v>40</v>
      </c>
      <c r="E5" s="22" t="s">
        <v>12</v>
      </c>
      <c r="F5" s="42" t="s">
        <v>29</v>
      </c>
      <c r="G5" s="42" t="s">
        <v>28</v>
      </c>
      <c r="H5" s="22" t="s">
        <v>12</v>
      </c>
      <c r="I5" s="42" t="s">
        <v>31</v>
      </c>
      <c r="J5" s="42" t="s">
        <v>107</v>
      </c>
      <c r="K5" s="22" t="s">
        <v>12</v>
      </c>
      <c r="L5" s="55"/>
      <c r="M5" s="55"/>
      <c r="N5" s="69"/>
      <c r="O5" s="56"/>
      <c r="P5" s="55"/>
      <c r="Q5" s="69"/>
      <c r="R5" s="70"/>
    </row>
    <row r="6" spans="1:18" ht="304.35000000000002">
      <c r="A6" s="76"/>
      <c r="B6" s="10">
        <v>3</v>
      </c>
      <c r="C6" s="42" t="s">
        <v>19</v>
      </c>
      <c r="D6" s="42" t="s">
        <v>24</v>
      </c>
      <c r="E6" s="22">
        <v>1</v>
      </c>
      <c r="F6" s="42" t="s">
        <v>22</v>
      </c>
      <c r="G6" s="42" t="s">
        <v>25</v>
      </c>
      <c r="H6" s="22">
        <v>1</v>
      </c>
      <c r="I6" s="42" t="s">
        <v>32</v>
      </c>
      <c r="J6" s="42" t="s">
        <v>30</v>
      </c>
      <c r="K6" s="22">
        <v>1</v>
      </c>
      <c r="L6" s="55"/>
      <c r="M6" s="55"/>
      <c r="N6" s="69"/>
      <c r="O6" s="56"/>
      <c r="P6" s="55"/>
      <c r="Q6" s="69"/>
      <c r="R6" s="70"/>
    </row>
    <row r="7" spans="1:18" ht="269.45">
      <c r="A7" s="76"/>
      <c r="B7" s="10">
        <v>4</v>
      </c>
      <c r="C7" s="42" t="s">
        <v>18</v>
      </c>
      <c r="D7" s="42" t="s">
        <v>20</v>
      </c>
      <c r="E7" s="22">
        <v>1</v>
      </c>
      <c r="F7" s="42" t="s">
        <v>26</v>
      </c>
      <c r="G7" s="42" t="s">
        <v>36</v>
      </c>
      <c r="H7" s="22">
        <v>1</v>
      </c>
      <c r="I7" s="42" t="s">
        <v>33</v>
      </c>
      <c r="J7" s="42" t="s">
        <v>37</v>
      </c>
      <c r="K7" s="22">
        <v>1</v>
      </c>
      <c r="L7" s="55"/>
      <c r="M7" s="55"/>
      <c r="N7" s="58"/>
      <c r="O7" s="56"/>
      <c r="P7" s="55"/>
      <c r="Q7" s="58"/>
      <c r="R7" s="60"/>
    </row>
    <row r="8" spans="1:18" ht="23.05">
      <c r="A8" s="12"/>
      <c r="B8" s="13"/>
      <c r="C8" s="1"/>
      <c r="D8" s="19" t="s">
        <v>125</v>
      </c>
      <c r="E8" s="10">
        <f>COUNTIF($E$4:$E$7,1)+COUNTIF($E$4:$E$7,"-")</f>
        <v>4</v>
      </c>
      <c r="F8" s="1"/>
      <c r="G8" s="19" t="s">
        <v>125</v>
      </c>
      <c r="H8" s="10">
        <f>COUNTIF(H4:H7,1)+COUNTIF(H4:H7,"-")</f>
        <v>3</v>
      </c>
      <c r="I8" s="1"/>
      <c r="J8" s="19" t="s">
        <v>125</v>
      </c>
      <c r="K8" s="10">
        <f>COUNTIF(K4:K7,1)+COUNTIF(K4:K7,"-")</f>
        <v>4</v>
      </c>
      <c r="L8" s="1"/>
      <c r="M8" s="19" t="s">
        <v>125</v>
      </c>
      <c r="N8" s="10">
        <f>COUNTIF(N4:N7,1)+COUNTIF(N4:N7,"-")</f>
        <v>0</v>
      </c>
      <c r="O8" s="14"/>
      <c r="P8" s="19" t="s">
        <v>125</v>
      </c>
      <c r="Q8" s="10">
        <f>COUNTIF(Q4:Q7,1)+COUNTIF(Q4:Q7,"-")</f>
        <v>0</v>
      </c>
      <c r="R8" s="13"/>
    </row>
    <row r="9" spans="1:18" ht="23.05">
      <c r="A9" s="12"/>
      <c r="B9" s="13"/>
      <c r="C9" s="1"/>
      <c r="D9" s="20" t="s">
        <v>126</v>
      </c>
      <c r="E9" s="21">
        <f>COUNTIF($E$4:$E$7,0)</f>
        <v>0</v>
      </c>
      <c r="F9" s="1"/>
      <c r="G9" s="20" t="s">
        <v>126</v>
      </c>
      <c r="H9" s="21">
        <f>COUNTIF(H4:H7,0)</f>
        <v>1</v>
      </c>
      <c r="I9" s="1"/>
      <c r="J9" s="20" t="s">
        <v>126</v>
      </c>
      <c r="K9" s="21">
        <f>COUNTIF(K4:K7,0)</f>
        <v>0</v>
      </c>
      <c r="L9" s="1"/>
      <c r="M9" s="20" t="s">
        <v>126</v>
      </c>
      <c r="N9" s="21">
        <f>COUNTIF(N4:N7,0)</f>
        <v>0</v>
      </c>
      <c r="O9" s="14"/>
      <c r="P9" s="20" t="s">
        <v>126</v>
      </c>
      <c r="Q9" s="21">
        <f>COUNTIF(Q4:Q7,0)</f>
        <v>0</v>
      </c>
      <c r="R9" s="13"/>
    </row>
    <row r="10" spans="1:18" ht="23.05">
      <c r="A10" s="12"/>
      <c r="B10" s="13"/>
      <c r="C10" s="1"/>
      <c r="D10" s="1"/>
      <c r="E10" s="13"/>
      <c r="F10" s="1"/>
      <c r="G10" s="1"/>
      <c r="H10" s="13"/>
      <c r="I10" s="1"/>
      <c r="J10" s="1"/>
      <c r="K10" s="13"/>
      <c r="L10" s="1"/>
      <c r="M10" s="1"/>
      <c r="N10" s="13"/>
      <c r="O10" s="14"/>
      <c r="P10" s="1"/>
      <c r="Q10" s="13"/>
      <c r="R10" s="13"/>
    </row>
    <row r="11" spans="1:18" ht="23.05">
      <c r="A11" s="12"/>
      <c r="B11" s="13"/>
      <c r="C11" s="1"/>
      <c r="D11" s="1"/>
      <c r="E11" s="13"/>
      <c r="F11" s="1"/>
      <c r="G11" s="1"/>
      <c r="H11" s="13"/>
      <c r="I11" s="1"/>
      <c r="J11" s="1"/>
      <c r="K11" s="13"/>
      <c r="L11" s="1"/>
      <c r="M11" s="1"/>
      <c r="N11" s="13"/>
      <c r="O11" s="14"/>
      <c r="P11" s="1"/>
      <c r="Q11" s="13"/>
      <c r="R11" s="13"/>
    </row>
    <row r="12" spans="1:18" ht="23.05">
      <c r="A12" s="12"/>
      <c r="B12" s="13"/>
      <c r="C12" s="1"/>
      <c r="D12" s="1"/>
      <c r="E12" s="13"/>
      <c r="F12" s="1"/>
      <c r="G12" s="1"/>
      <c r="H12" s="13"/>
      <c r="I12" s="1"/>
      <c r="J12" s="1"/>
      <c r="K12" s="13"/>
      <c r="L12" s="1"/>
      <c r="M12" s="1"/>
      <c r="N12" s="13"/>
      <c r="O12" s="14"/>
      <c r="P12" s="1"/>
      <c r="Q12" s="13"/>
      <c r="R12" s="13"/>
    </row>
    <row r="13" spans="1:18" ht="41.6">
      <c r="A13" s="8" t="s">
        <v>0</v>
      </c>
      <c r="B13" s="8" t="s">
        <v>13</v>
      </c>
      <c r="C13" s="67" t="s">
        <v>1</v>
      </c>
      <c r="D13" s="67"/>
      <c r="E13" s="67"/>
      <c r="F13" s="67" t="s">
        <v>2</v>
      </c>
      <c r="G13" s="67"/>
      <c r="H13" s="67"/>
      <c r="I13" s="67" t="s">
        <v>3</v>
      </c>
      <c r="J13" s="67"/>
      <c r="K13" s="67"/>
      <c r="L13" s="67" t="s">
        <v>4</v>
      </c>
      <c r="M13" s="67"/>
      <c r="N13" s="67"/>
      <c r="O13" s="67" t="s">
        <v>5</v>
      </c>
      <c r="P13" s="67"/>
      <c r="Q13" s="67"/>
      <c r="R13" s="9" t="s">
        <v>132</v>
      </c>
    </row>
    <row r="14" spans="1:18" ht="19.3">
      <c r="A14" s="5"/>
      <c r="B14" s="5"/>
      <c r="C14" s="6" t="s">
        <v>14</v>
      </c>
      <c r="D14" s="6" t="s">
        <v>15</v>
      </c>
      <c r="E14" s="6" t="s">
        <v>11</v>
      </c>
      <c r="F14" s="6" t="s">
        <v>14</v>
      </c>
      <c r="G14" s="6" t="s">
        <v>15</v>
      </c>
      <c r="H14" s="6" t="s">
        <v>11</v>
      </c>
      <c r="I14" s="6" t="s">
        <v>14</v>
      </c>
      <c r="J14" s="6" t="s">
        <v>15</v>
      </c>
      <c r="K14" s="6" t="s">
        <v>11</v>
      </c>
      <c r="L14" s="6" t="s">
        <v>14</v>
      </c>
      <c r="M14" s="6" t="s">
        <v>15</v>
      </c>
      <c r="N14" s="6" t="s">
        <v>11</v>
      </c>
      <c r="O14" s="6" t="s">
        <v>14</v>
      </c>
      <c r="P14" s="6" t="s">
        <v>15</v>
      </c>
      <c r="Q14" s="6" t="s">
        <v>11</v>
      </c>
      <c r="R14" s="7"/>
    </row>
    <row r="15" spans="1:18" ht="391.95">
      <c r="A15" s="75" t="s">
        <v>7</v>
      </c>
      <c r="B15" s="10">
        <v>1</v>
      </c>
      <c r="C15" s="42" t="s">
        <v>46</v>
      </c>
      <c r="D15" s="42" t="s">
        <v>47</v>
      </c>
      <c r="E15" s="22">
        <v>1</v>
      </c>
      <c r="F15" s="42" t="s">
        <v>48</v>
      </c>
      <c r="G15" s="42" t="s">
        <v>51</v>
      </c>
      <c r="H15" s="22">
        <v>0</v>
      </c>
      <c r="I15" s="42" t="s">
        <v>49</v>
      </c>
      <c r="J15" s="42" t="s">
        <v>71</v>
      </c>
      <c r="K15" s="22">
        <v>1</v>
      </c>
      <c r="L15" s="65" t="s">
        <v>43</v>
      </c>
      <c r="M15" s="65" t="s">
        <v>39</v>
      </c>
      <c r="N15" s="57"/>
      <c r="O15" s="65" t="s">
        <v>44</v>
      </c>
      <c r="P15" s="65" t="s">
        <v>45</v>
      </c>
      <c r="Q15" s="57"/>
      <c r="R15" s="59" t="e">
        <f>VALUE(IF(E20&gt;0,"0.00",IF(H20&gt;0,"1.00",IF(K20&gt;0,"2.00",IF(N20&gt;0,"3.00",IF(Q20&gt;0,"4.00","5.00"))))))</f>
        <v>#VALUE!</v>
      </c>
    </row>
    <row r="16" spans="1:18" ht="196.7">
      <c r="A16" s="75"/>
      <c r="B16" s="10">
        <v>2</v>
      </c>
      <c r="C16" s="42" t="s">
        <v>76</v>
      </c>
      <c r="D16" s="42" t="s">
        <v>53</v>
      </c>
      <c r="E16" s="22">
        <v>1</v>
      </c>
      <c r="F16" s="42" t="s">
        <v>50</v>
      </c>
      <c r="G16" s="42" t="s">
        <v>52</v>
      </c>
      <c r="H16" s="22">
        <v>1</v>
      </c>
      <c r="I16" s="42" t="s">
        <v>54</v>
      </c>
      <c r="J16" s="42" t="s">
        <v>82</v>
      </c>
      <c r="K16" s="22">
        <v>1</v>
      </c>
      <c r="L16" s="72"/>
      <c r="M16" s="72"/>
      <c r="N16" s="69"/>
      <c r="O16" s="73"/>
      <c r="P16" s="72"/>
      <c r="Q16" s="69"/>
      <c r="R16" s="70"/>
    </row>
    <row r="17" spans="1:18" ht="196">
      <c r="A17" s="75"/>
      <c r="B17" s="10">
        <v>3</v>
      </c>
      <c r="C17" s="42" t="s">
        <v>55</v>
      </c>
      <c r="D17" s="42" t="s">
        <v>57</v>
      </c>
      <c r="E17" s="22">
        <v>1</v>
      </c>
      <c r="F17" s="42" t="s">
        <v>56</v>
      </c>
      <c r="G17" s="42" t="s">
        <v>58</v>
      </c>
      <c r="H17" s="22">
        <v>1</v>
      </c>
      <c r="I17" s="42" t="s">
        <v>59</v>
      </c>
      <c r="J17" s="42" t="s">
        <v>60</v>
      </c>
      <c r="K17" s="22">
        <v>1</v>
      </c>
      <c r="L17" s="72"/>
      <c r="M17" s="72"/>
      <c r="N17" s="69"/>
      <c r="O17" s="73"/>
      <c r="P17" s="72"/>
      <c r="Q17" s="69"/>
      <c r="R17" s="70"/>
    </row>
    <row r="18" spans="1:18" ht="124.7">
      <c r="A18" s="75"/>
      <c r="B18" s="10">
        <v>4</v>
      </c>
      <c r="C18" s="42" t="s">
        <v>61</v>
      </c>
      <c r="D18" s="42" t="s">
        <v>62</v>
      </c>
      <c r="E18" s="22">
        <v>1</v>
      </c>
      <c r="F18" s="42" t="s">
        <v>63</v>
      </c>
      <c r="G18" s="42" t="s">
        <v>64</v>
      </c>
      <c r="H18" s="22">
        <v>1</v>
      </c>
      <c r="I18" s="42" t="s">
        <v>65</v>
      </c>
      <c r="J18" s="42" t="s">
        <v>66</v>
      </c>
      <c r="K18" s="22">
        <v>1</v>
      </c>
      <c r="L18" s="66"/>
      <c r="M18" s="66"/>
      <c r="N18" s="58"/>
      <c r="O18" s="74"/>
      <c r="P18" s="66"/>
      <c r="Q18" s="58"/>
      <c r="R18" s="60"/>
    </row>
    <row r="19" spans="1:18">
      <c r="D19" s="19" t="s">
        <v>125</v>
      </c>
      <c r="E19" s="10">
        <f>COUNTIF(E15:E18,1)+COUNTIF(E15:E18,"-")</f>
        <v>4</v>
      </c>
      <c r="G19" s="19" t="s">
        <v>125</v>
      </c>
      <c r="H19" s="10">
        <f>COUNTIF(H15:H18,1)+COUNTIF(H15:H18,"-")</f>
        <v>3</v>
      </c>
      <c r="J19" s="19" t="s">
        <v>125</v>
      </c>
      <c r="K19" s="10">
        <f>COUNTIF(K15:K18,1)+COUNTIF(K15:K18,"-")</f>
        <v>4</v>
      </c>
      <c r="M19" s="19" t="s">
        <v>125</v>
      </c>
      <c r="N19" s="10">
        <f>COUNTIF(N15:N18,1)+COUNTIF(N15:N18,"-")</f>
        <v>0</v>
      </c>
      <c r="P19" s="19" t="s">
        <v>125</v>
      </c>
      <c r="Q19" s="10">
        <f>COUNTIF(Q15:Q18,1)+COUNTIF(Q15:Q18,"-")</f>
        <v>0</v>
      </c>
    </row>
    <row r="20" spans="1:18">
      <c r="D20" s="20" t="s">
        <v>126</v>
      </c>
      <c r="E20" s="21">
        <f>COUNTIF(E15:E18,0)</f>
        <v>0</v>
      </c>
      <c r="G20" s="20" t="s">
        <v>126</v>
      </c>
      <c r="H20" s="21">
        <f>COUNTIF(H15:H18,0)</f>
        <v>1</v>
      </c>
      <c r="J20" s="20" t="s">
        <v>126</v>
      </c>
      <c r="K20" s="21">
        <f>COUNTIF(K15:K18,0)</f>
        <v>0</v>
      </c>
      <c r="M20" s="20" t="s">
        <v>126</v>
      </c>
      <c r="N20" s="21">
        <f>COUNTIF(N15:N18,0)</f>
        <v>0</v>
      </c>
      <c r="P20" s="20" t="s">
        <v>126</v>
      </c>
      <c r="Q20" s="21">
        <f>COUNTIF(Q15:Q18,0)</f>
        <v>0</v>
      </c>
    </row>
    <row r="29" spans="1:18" s="2" customFormat="1">
      <c r="C29" s="3"/>
      <c r="D29" s="3"/>
      <c r="F29" s="3"/>
      <c r="G29" s="3"/>
      <c r="I29" s="3"/>
      <c r="J29" s="1"/>
      <c r="L29" s="3"/>
      <c r="M29" s="3"/>
      <c r="O29" s="3"/>
      <c r="P29" s="3"/>
    </row>
    <row r="34" spans="1:18" ht="41.6">
      <c r="A34" s="8" t="s">
        <v>0</v>
      </c>
      <c r="B34" s="8" t="s">
        <v>13</v>
      </c>
      <c r="C34" s="67" t="s">
        <v>1</v>
      </c>
      <c r="D34" s="67"/>
      <c r="E34" s="67"/>
      <c r="F34" s="67" t="s">
        <v>2</v>
      </c>
      <c r="G34" s="67"/>
      <c r="H34" s="67"/>
      <c r="I34" s="67" t="s">
        <v>3</v>
      </c>
      <c r="J34" s="67"/>
      <c r="K34" s="67"/>
      <c r="L34" s="67" t="s">
        <v>4</v>
      </c>
      <c r="M34" s="67"/>
      <c r="N34" s="67"/>
      <c r="O34" s="67" t="s">
        <v>5</v>
      </c>
      <c r="P34" s="67"/>
      <c r="Q34" s="67"/>
      <c r="R34" s="9" t="s">
        <v>132</v>
      </c>
    </row>
    <row r="35" spans="1:18" ht="19.3">
      <c r="A35" s="5"/>
      <c r="B35" s="5"/>
      <c r="C35" s="6" t="s">
        <v>14</v>
      </c>
      <c r="D35" s="6" t="s">
        <v>15</v>
      </c>
      <c r="E35" s="6" t="s">
        <v>11</v>
      </c>
      <c r="F35" s="6" t="s">
        <v>14</v>
      </c>
      <c r="G35" s="6" t="s">
        <v>15</v>
      </c>
      <c r="H35" s="6" t="s">
        <v>11</v>
      </c>
      <c r="I35" s="6" t="s">
        <v>14</v>
      </c>
      <c r="J35" s="6" t="s">
        <v>15</v>
      </c>
      <c r="K35" s="6" t="s">
        <v>11</v>
      </c>
      <c r="L35" s="6" t="s">
        <v>14</v>
      </c>
      <c r="M35" s="6" t="s">
        <v>15</v>
      </c>
      <c r="N35" s="6" t="s">
        <v>11</v>
      </c>
      <c r="O35" s="6" t="s">
        <v>14</v>
      </c>
      <c r="P35" s="6" t="s">
        <v>15</v>
      </c>
      <c r="Q35" s="6" t="s">
        <v>11</v>
      </c>
      <c r="R35" s="7"/>
    </row>
    <row r="36" spans="1:18" ht="409.6">
      <c r="A36" s="71" t="s">
        <v>8</v>
      </c>
      <c r="B36" s="10">
        <v>1</v>
      </c>
      <c r="C36" s="42" t="s">
        <v>67</v>
      </c>
      <c r="D36" s="42" t="s">
        <v>90</v>
      </c>
      <c r="E36" s="22">
        <v>1</v>
      </c>
      <c r="F36" s="42" t="s">
        <v>68</v>
      </c>
      <c r="G36" s="42" t="s">
        <v>69</v>
      </c>
      <c r="H36" s="22">
        <v>0</v>
      </c>
      <c r="I36" s="42" t="s">
        <v>70</v>
      </c>
      <c r="J36" s="42" t="s">
        <v>103</v>
      </c>
      <c r="K36" s="22">
        <v>1</v>
      </c>
      <c r="L36" s="65" t="s">
        <v>72</v>
      </c>
      <c r="M36" s="65" t="s">
        <v>39</v>
      </c>
      <c r="N36" s="57"/>
      <c r="O36" s="65" t="s">
        <v>73</v>
      </c>
      <c r="P36" s="65" t="s">
        <v>74</v>
      </c>
      <c r="Q36" s="57"/>
      <c r="R36" s="59" t="e">
        <f>VALUE(IF(E41&gt;0,"0.00",IF(H41&gt;0,"1.00",IF(K41&gt;0,"2.00",IF(N41&gt;0,"3.00",IF(Q41&gt;0,"4.00","5.00"))))))</f>
        <v>#VALUE!</v>
      </c>
    </row>
    <row r="37" spans="1:18" ht="196.7">
      <c r="A37" s="71"/>
      <c r="B37" s="10">
        <v>2</v>
      </c>
      <c r="C37" s="42" t="s">
        <v>75</v>
      </c>
      <c r="D37" s="42" t="s">
        <v>77</v>
      </c>
      <c r="E37" s="22">
        <v>1</v>
      </c>
      <c r="F37" s="42" t="s">
        <v>78</v>
      </c>
      <c r="G37" s="42" t="s">
        <v>79</v>
      </c>
      <c r="H37" s="22">
        <v>1</v>
      </c>
      <c r="I37" s="42" t="s">
        <v>80</v>
      </c>
      <c r="J37" s="42" t="s">
        <v>81</v>
      </c>
      <c r="K37" s="22">
        <v>1</v>
      </c>
      <c r="L37" s="72"/>
      <c r="M37" s="72"/>
      <c r="N37" s="69"/>
      <c r="O37" s="73"/>
      <c r="P37" s="72"/>
      <c r="Q37" s="69"/>
      <c r="R37" s="70"/>
    </row>
    <row r="38" spans="1:18" ht="249.4">
      <c r="A38" s="71"/>
      <c r="B38" s="10">
        <v>3</v>
      </c>
      <c r="C38" s="42" t="s">
        <v>83</v>
      </c>
      <c r="D38" s="42" t="s">
        <v>84</v>
      </c>
      <c r="E38" s="22">
        <v>1</v>
      </c>
      <c r="F38" s="42" t="s">
        <v>85</v>
      </c>
      <c r="G38" s="42" t="s">
        <v>87</v>
      </c>
      <c r="H38" s="22">
        <v>1</v>
      </c>
      <c r="I38" s="42" t="s">
        <v>86</v>
      </c>
      <c r="J38" s="42" t="s">
        <v>88</v>
      </c>
      <c r="K38" s="22">
        <v>1</v>
      </c>
      <c r="L38" s="72"/>
      <c r="M38" s="72"/>
      <c r="N38" s="69"/>
      <c r="O38" s="73"/>
      <c r="P38" s="72"/>
      <c r="Q38" s="69"/>
      <c r="R38" s="70"/>
    </row>
    <row r="39" spans="1:18" ht="213.8">
      <c r="A39" s="71"/>
      <c r="B39" s="10">
        <v>4</v>
      </c>
      <c r="C39" s="42" t="s">
        <v>89</v>
      </c>
      <c r="D39" s="42" t="s">
        <v>91</v>
      </c>
      <c r="E39" s="22"/>
      <c r="F39" s="42" t="s">
        <v>92</v>
      </c>
      <c r="G39" s="42" t="s">
        <v>93</v>
      </c>
      <c r="H39" s="22">
        <v>1</v>
      </c>
      <c r="I39" s="42" t="s">
        <v>94</v>
      </c>
      <c r="J39" s="42" t="s">
        <v>95</v>
      </c>
      <c r="K39" s="22">
        <v>1</v>
      </c>
      <c r="L39" s="66"/>
      <c r="M39" s="66"/>
      <c r="N39" s="58"/>
      <c r="O39" s="74"/>
      <c r="P39" s="66"/>
      <c r="Q39" s="58"/>
      <c r="R39" s="60"/>
    </row>
    <row r="40" spans="1:18">
      <c r="D40" s="19" t="s">
        <v>125</v>
      </c>
      <c r="E40" s="10">
        <f>COUNTIF(E36:E39,1)+COUNTIF(E36:E39,"-")</f>
        <v>3</v>
      </c>
      <c r="G40" s="19" t="s">
        <v>125</v>
      </c>
      <c r="H40" s="10">
        <f>COUNTIF(H36:H39,1)+COUNTIF(H36:H39,"-")</f>
        <v>3</v>
      </c>
      <c r="J40" s="19" t="s">
        <v>125</v>
      </c>
      <c r="K40" s="10">
        <f>COUNTIF(K36:K39,1)+COUNTIF(K36:K39,"-")</f>
        <v>4</v>
      </c>
      <c r="M40" s="19" t="s">
        <v>125</v>
      </c>
      <c r="N40" s="10">
        <f>COUNTIF(N36:N39,1)+COUNTIF(N36:N39,"-")</f>
        <v>0</v>
      </c>
      <c r="P40" s="19" t="s">
        <v>125</v>
      </c>
      <c r="Q40" s="10">
        <f>COUNTIF(Q36:Q39,1)+COUNTIF(Q36:Q39,"-")</f>
        <v>0</v>
      </c>
    </row>
    <row r="41" spans="1:18">
      <c r="D41" s="20" t="s">
        <v>126</v>
      </c>
      <c r="E41" s="21">
        <f>COUNTIF(E36:E39,0)</f>
        <v>0</v>
      </c>
      <c r="G41" s="20" t="s">
        <v>126</v>
      </c>
      <c r="H41" s="21">
        <f>COUNTIF(H36:H39,0)</f>
        <v>1</v>
      </c>
      <c r="J41" s="20" t="s">
        <v>126</v>
      </c>
      <c r="K41" s="21">
        <f>COUNTIF(K36:K39,0)</f>
        <v>0</v>
      </c>
      <c r="M41" s="20" t="s">
        <v>126</v>
      </c>
      <c r="N41" s="21">
        <f>COUNTIF(N36:N39,0)</f>
        <v>0</v>
      </c>
      <c r="P41" s="20" t="s">
        <v>126</v>
      </c>
      <c r="Q41" s="21">
        <f>COUNTIF(Q36:Q39,0)</f>
        <v>0</v>
      </c>
    </row>
    <row r="49" spans="1:18" ht="41.6">
      <c r="A49" s="8" t="s">
        <v>0</v>
      </c>
      <c r="B49" s="8" t="s">
        <v>13</v>
      </c>
      <c r="C49" s="67" t="s">
        <v>1</v>
      </c>
      <c r="D49" s="67"/>
      <c r="E49" s="67"/>
      <c r="F49" s="67" t="s">
        <v>2</v>
      </c>
      <c r="G49" s="67"/>
      <c r="H49" s="67"/>
      <c r="I49" s="67" t="s">
        <v>3</v>
      </c>
      <c r="J49" s="67"/>
      <c r="K49" s="67"/>
      <c r="L49" s="67" t="s">
        <v>4</v>
      </c>
      <c r="M49" s="67"/>
      <c r="N49" s="67"/>
      <c r="O49" s="67" t="s">
        <v>5</v>
      </c>
      <c r="P49" s="67"/>
      <c r="Q49" s="67"/>
      <c r="R49" s="9" t="s">
        <v>132</v>
      </c>
    </row>
    <row r="50" spans="1:18" ht="19.3">
      <c r="A50" s="5"/>
      <c r="B50" s="5"/>
      <c r="C50" s="6" t="s">
        <v>14</v>
      </c>
      <c r="D50" s="6" t="s">
        <v>15</v>
      </c>
      <c r="E50" s="6" t="s">
        <v>11</v>
      </c>
      <c r="F50" s="6" t="s">
        <v>14</v>
      </c>
      <c r="G50" s="6" t="s">
        <v>15</v>
      </c>
      <c r="H50" s="6" t="s">
        <v>11</v>
      </c>
      <c r="I50" s="6" t="s">
        <v>14</v>
      </c>
      <c r="J50" s="6" t="s">
        <v>15</v>
      </c>
      <c r="K50" s="6" t="s">
        <v>11</v>
      </c>
      <c r="L50" s="6" t="s">
        <v>14</v>
      </c>
      <c r="M50" s="6" t="s">
        <v>15</v>
      </c>
      <c r="N50" s="6" t="s">
        <v>11</v>
      </c>
      <c r="O50" s="6" t="s">
        <v>14</v>
      </c>
      <c r="P50" s="6" t="s">
        <v>15</v>
      </c>
      <c r="Q50" s="6" t="s">
        <v>11</v>
      </c>
      <c r="R50" s="7"/>
    </row>
    <row r="51" spans="1:18" ht="374.1">
      <c r="A51" s="68" t="s">
        <v>9</v>
      </c>
      <c r="B51" s="10">
        <v>1</v>
      </c>
      <c r="C51" s="42" t="s">
        <v>96</v>
      </c>
      <c r="D51" s="42" t="s">
        <v>97</v>
      </c>
      <c r="E51" s="22">
        <v>1</v>
      </c>
      <c r="F51" s="42" t="s">
        <v>98</v>
      </c>
      <c r="G51" s="42" t="s">
        <v>102</v>
      </c>
      <c r="H51" s="22">
        <v>0</v>
      </c>
      <c r="I51" s="42" t="s">
        <v>101</v>
      </c>
      <c r="J51" s="42" t="s">
        <v>104</v>
      </c>
      <c r="K51" s="22">
        <v>1</v>
      </c>
      <c r="L51" s="55" t="s">
        <v>108</v>
      </c>
      <c r="M51" s="55" t="s">
        <v>39</v>
      </c>
      <c r="N51" s="57"/>
      <c r="O51" s="55" t="s">
        <v>41</v>
      </c>
      <c r="P51" s="55" t="s">
        <v>42</v>
      </c>
      <c r="Q51" s="57"/>
      <c r="R51" s="59" t="e">
        <f>VALUE(IF(E54&gt;0,"0.00",IF(H54&gt;0,"1.00",IF(K54&gt;0,"2.00",IF(N54&gt;0,"3.00",IF(Q54&gt;0,"4.00","5.00"))))))</f>
        <v>#VALUE!</v>
      </c>
    </row>
    <row r="52" spans="1:18" ht="268">
      <c r="A52" s="68"/>
      <c r="B52" s="10">
        <v>2</v>
      </c>
      <c r="C52" s="42" t="s">
        <v>99</v>
      </c>
      <c r="D52" s="42" t="s">
        <v>100</v>
      </c>
      <c r="E52" s="22">
        <v>1</v>
      </c>
      <c r="F52" s="42" t="s">
        <v>105</v>
      </c>
      <c r="G52" s="42" t="s">
        <v>110</v>
      </c>
      <c r="H52" s="22">
        <v>1</v>
      </c>
      <c r="I52" s="42" t="s">
        <v>106</v>
      </c>
      <c r="J52" s="42" t="s">
        <v>109</v>
      </c>
      <c r="K52" s="22">
        <v>1</v>
      </c>
      <c r="L52" s="55"/>
      <c r="M52" s="55"/>
      <c r="N52" s="58"/>
      <c r="O52" s="56"/>
      <c r="P52" s="55"/>
      <c r="Q52" s="58"/>
      <c r="R52" s="60"/>
    </row>
    <row r="53" spans="1:18">
      <c r="D53" s="19" t="s">
        <v>125</v>
      </c>
      <c r="E53" s="10">
        <f>COUNTIF(E51:E52,1)+COUNTIF(E51:E52,"-")</f>
        <v>2</v>
      </c>
      <c r="G53" s="19" t="s">
        <v>125</v>
      </c>
      <c r="H53" s="10">
        <f>COUNTIF(H51:H52,1)+COUNTIF(H51:H52,"-")</f>
        <v>1</v>
      </c>
      <c r="J53" s="19" t="s">
        <v>125</v>
      </c>
      <c r="K53" s="10">
        <f>COUNTIF(K51:K52,1)+COUNTIF(K51:K52,"-")</f>
        <v>2</v>
      </c>
      <c r="M53" s="19" t="s">
        <v>125</v>
      </c>
      <c r="N53" s="10">
        <f>COUNTIF(N51:N52,1)+COUNTIF(N51:N52,"-")</f>
        <v>0</v>
      </c>
      <c r="P53" s="19" t="s">
        <v>125</v>
      </c>
      <c r="Q53" s="10">
        <f>COUNTIF(Q51:Q52,1)+COUNTIF(Q51:Q52,"-")</f>
        <v>0</v>
      </c>
    </row>
    <row r="54" spans="1:18">
      <c r="D54" s="20" t="s">
        <v>126</v>
      </c>
      <c r="E54" s="21">
        <f>COUNTIF(E51:E52,0)</f>
        <v>0</v>
      </c>
      <c r="G54" s="20" t="s">
        <v>126</v>
      </c>
      <c r="H54" s="21">
        <f>COUNTIF(H51:H52,0)</f>
        <v>1</v>
      </c>
      <c r="J54" s="20" t="s">
        <v>126</v>
      </c>
      <c r="K54" s="21">
        <f>COUNTIF(K51:K52,0)</f>
        <v>0</v>
      </c>
      <c r="M54" s="20" t="s">
        <v>126</v>
      </c>
      <c r="N54" s="21">
        <f>COUNTIF(N51:N52,0)</f>
        <v>0</v>
      </c>
      <c r="P54" s="20" t="s">
        <v>126</v>
      </c>
      <c r="Q54" s="21">
        <f>COUNTIF(Q51:Q52,0)</f>
        <v>0</v>
      </c>
    </row>
    <row r="85" spans="1:18" ht="41.6">
      <c r="A85" s="8" t="s">
        <v>0</v>
      </c>
      <c r="B85" s="8" t="s">
        <v>13</v>
      </c>
      <c r="C85" s="67" t="s">
        <v>1</v>
      </c>
      <c r="D85" s="67"/>
      <c r="E85" s="67"/>
      <c r="F85" s="67" t="s">
        <v>2</v>
      </c>
      <c r="G85" s="67"/>
      <c r="H85" s="67"/>
      <c r="I85" s="67" t="s">
        <v>3</v>
      </c>
      <c r="J85" s="67"/>
      <c r="K85" s="67"/>
      <c r="L85" s="67" t="s">
        <v>4</v>
      </c>
      <c r="M85" s="67"/>
      <c r="N85" s="67"/>
      <c r="O85" s="67" t="s">
        <v>5</v>
      </c>
      <c r="P85" s="67"/>
      <c r="Q85" s="67"/>
      <c r="R85" s="9" t="s">
        <v>132</v>
      </c>
    </row>
    <row r="86" spans="1:18" ht="19.3">
      <c r="A86" s="5"/>
      <c r="B86" s="5"/>
      <c r="C86" s="6" t="s">
        <v>14</v>
      </c>
      <c r="D86" s="6" t="s">
        <v>15</v>
      </c>
      <c r="E86" s="6" t="s">
        <v>11</v>
      </c>
      <c r="F86" s="6" t="s">
        <v>14</v>
      </c>
      <c r="G86" s="6" t="s">
        <v>15</v>
      </c>
      <c r="H86" s="6" t="s">
        <v>11</v>
      </c>
      <c r="I86" s="6" t="s">
        <v>14</v>
      </c>
      <c r="J86" s="6" t="s">
        <v>15</v>
      </c>
      <c r="K86" s="6" t="s">
        <v>11</v>
      </c>
      <c r="L86" s="6" t="s">
        <v>14</v>
      </c>
      <c r="M86" s="6" t="s">
        <v>15</v>
      </c>
      <c r="N86" s="6" t="s">
        <v>11</v>
      </c>
      <c r="O86" s="6" t="s">
        <v>14</v>
      </c>
      <c r="P86" s="6" t="s">
        <v>15</v>
      </c>
      <c r="Q86" s="6" t="s">
        <v>11</v>
      </c>
      <c r="R86" s="7"/>
    </row>
    <row r="87" spans="1:18" ht="302.85000000000002">
      <c r="A87" s="62" t="s">
        <v>10</v>
      </c>
      <c r="B87" s="10">
        <v>1</v>
      </c>
      <c r="C87" s="42" t="s">
        <v>111</v>
      </c>
      <c r="D87" s="42" t="s">
        <v>113</v>
      </c>
      <c r="E87" s="22">
        <v>1</v>
      </c>
      <c r="F87" s="42" t="s">
        <v>115</v>
      </c>
      <c r="G87" s="42" t="s">
        <v>116</v>
      </c>
      <c r="H87" s="22">
        <v>0</v>
      </c>
      <c r="I87" s="63" t="s">
        <v>114</v>
      </c>
      <c r="J87" s="65" t="s">
        <v>117</v>
      </c>
      <c r="K87" s="22">
        <v>1</v>
      </c>
      <c r="L87" s="55" t="s">
        <v>118</v>
      </c>
      <c r="M87" s="55" t="s">
        <v>119</v>
      </c>
      <c r="N87" s="57"/>
      <c r="O87" s="55" t="s">
        <v>120</v>
      </c>
      <c r="P87" s="55" t="s">
        <v>121</v>
      </c>
      <c r="Q87" s="57"/>
      <c r="R87" s="59" t="e">
        <f>VALUE(IF(E90&gt;0,"0.00",IF(H90&gt;0,"1.00",IF(K90&gt;0,"2.00",IF(N90&gt;0,"3.00",IF(Q90&gt;0,"4.00","5.00"))))))</f>
        <v>#VALUE!</v>
      </c>
    </row>
    <row r="88" spans="1:18" ht="374.1">
      <c r="A88" s="62"/>
      <c r="B88" s="10">
        <v>2</v>
      </c>
      <c r="C88" s="42" t="s">
        <v>112</v>
      </c>
      <c r="D88" s="42" t="s">
        <v>124</v>
      </c>
      <c r="E88" s="22">
        <v>1</v>
      </c>
      <c r="F88" s="42" t="s">
        <v>122</v>
      </c>
      <c r="G88" s="42" t="s">
        <v>123</v>
      </c>
      <c r="H88" s="22">
        <v>1</v>
      </c>
      <c r="I88" s="64"/>
      <c r="J88" s="66"/>
      <c r="K88" s="22"/>
      <c r="L88" s="55"/>
      <c r="M88" s="55"/>
      <c r="N88" s="58"/>
      <c r="O88" s="56"/>
      <c r="P88" s="55"/>
      <c r="Q88" s="58"/>
      <c r="R88" s="60"/>
    </row>
    <row r="89" spans="1:18">
      <c r="D89" s="19" t="s">
        <v>125</v>
      </c>
      <c r="E89" s="10">
        <f>COUNTIF(E87:E88,1)+COUNTIF(E87:E88,"-")</f>
        <v>2</v>
      </c>
      <c r="G89" s="19" t="s">
        <v>125</v>
      </c>
      <c r="H89" s="10">
        <f>COUNTIF(H87:H88,1)+COUNTIF(H87:H88,"-")</f>
        <v>1</v>
      </c>
      <c r="J89" s="19" t="s">
        <v>125</v>
      </c>
      <c r="K89" s="10">
        <f>COUNTIF(K87:K88,1)+COUNTIF(K87:K88,"-")</f>
        <v>1</v>
      </c>
      <c r="M89" s="19" t="s">
        <v>125</v>
      </c>
      <c r="N89" s="10">
        <f>COUNTIF(N87:N88,1)+COUNTIF(N87:N88,"-")</f>
        <v>0</v>
      </c>
      <c r="P89" s="19" t="s">
        <v>125</v>
      </c>
      <c r="Q89" s="10">
        <f>COUNTIF(Q87:Q88,1)+COUNTIF(Q87:Q88,"-")</f>
        <v>0</v>
      </c>
    </row>
    <row r="90" spans="1:18">
      <c r="D90" s="20" t="s">
        <v>126</v>
      </c>
      <c r="E90" s="21">
        <f>COUNTIF(E87:E88,0)</f>
        <v>0</v>
      </c>
      <c r="G90" s="20" t="s">
        <v>126</v>
      </c>
      <c r="H90" s="21">
        <f>COUNTIF(H87:H88,0)</f>
        <v>1</v>
      </c>
      <c r="J90" s="20" t="s">
        <v>126</v>
      </c>
      <c r="K90" s="21">
        <f>COUNTIF(K87:K88,0)</f>
        <v>0</v>
      </c>
      <c r="M90" s="20" t="s">
        <v>126</v>
      </c>
      <c r="N90" s="21">
        <f>COUNTIF(N87:N88,0)</f>
        <v>0</v>
      </c>
      <c r="P90" s="20" t="s">
        <v>126</v>
      </c>
      <c r="Q90" s="21">
        <f>COUNTIF(Q87:Q88,0)</f>
        <v>0</v>
      </c>
    </row>
    <row r="92" spans="1:18" ht="19.5" customHeight="1">
      <c r="C92" s="61" t="s">
        <v>130</v>
      </c>
      <c r="D92" s="61"/>
      <c r="E92" s="61"/>
      <c r="F92" s="61"/>
      <c r="G92" s="25"/>
    </row>
    <row r="93" spans="1:18" ht="19.5" customHeight="1">
      <c r="C93" s="61"/>
      <c r="D93" s="61"/>
      <c r="E93" s="61"/>
      <c r="F93" s="61"/>
      <c r="G93" s="25"/>
    </row>
    <row r="94" spans="1:18" ht="19.5" customHeight="1">
      <c r="C94" s="46">
        <v>1</v>
      </c>
      <c r="D94" s="47" t="s">
        <v>145</v>
      </c>
      <c r="E94" s="48"/>
      <c r="F94" s="48"/>
      <c r="G94" s="48"/>
      <c r="H94" s="48"/>
      <c r="I94" s="48"/>
      <c r="J94" s="48"/>
      <c r="K94" s="48"/>
      <c r="L94" s="48"/>
      <c r="M94" s="49"/>
      <c r="P94" s="29" t="s">
        <v>139</v>
      </c>
      <c r="Q94" s="28" t="s">
        <v>144</v>
      </c>
      <c r="R94" s="27" t="e">
        <f>$R$4</f>
        <v>#VALUE!</v>
      </c>
    </row>
    <row r="95" spans="1:18" ht="21" customHeight="1">
      <c r="C95" s="46"/>
      <c r="D95" s="50"/>
      <c r="E95" s="51"/>
      <c r="F95" s="51"/>
      <c r="G95" s="51"/>
      <c r="H95" s="51"/>
      <c r="I95" s="51"/>
      <c r="J95" s="51"/>
      <c r="K95" s="51"/>
      <c r="L95" s="51"/>
      <c r="M95" s="52"/>
      <c r="P95" s="29" t="s">
        <v>140</v>
      </c>
      <c r="Q95" s="28" t="s">
        <v>144</v>
      </c>
      <c r="R95" s="27" t="e">
        <f>$R$15</f>
        <v>#VALUE!</v>
      </c>
    </row>
    <row r="96" spans="1:18" ht="19.5" customHeight="1">
      <c r="C96" s="46">
        <v>2</v>
      </c>
      <c r="D96" s="47" t="s">
        <v>146</v>
      </c>
      <c r="E96" s="48"/>
      <c r="F96" s="48"/>
      <c r="G96" s="48"/>
      <c r="H96" s="48"/>
      <c r="I96" s="48"/>
      <c r="J96" s="48"/>
      <c r="K96" s="48"/>
      <c r="L96" s="48"/>
      <c r="M96" s="49"/>
      <c r="P96" s="29" t="s">
        <v>141</v>
      </c>
      <c r="Q96" s="28" t="s">
        <v>144</v>
      </c>
      <c r="R96" s="27" t="e">
        <f>$R$36</f>
        <v>#VALUE!</v>
      </c>
    </row>
    <row r="97" spans="3:18" ht="19.5" customHeight="1">
      <c r="C97" s="46"/>
      <c r="D97" s="50"/>
      <c r="E97" s="51"/>
      <c r="F97" s="51"/>
      <c r="G97" s="51"/>
      <c r="H97" s="51"/>
      <c r="I97" s="51"/>
      <c r="J97" s="51"/>
      <c r="K97" s="51"/>
      <c r="L97" s="51"/>
      <c r="M97" s="52"/>
      <c r="P97" s="29" t="s">
        <v>142</v>
      </c>
      <c r="Q97" s="28" t="s">
        <v>144</v>
      </c>
      <c r="R97" s="27" t="e">
        <f>$R$51</f>
        <v>#VALUE!</v>
      </c>
    </row>
    <row r="98" spans="3:18" ht="19.5" customHeight="1">
      <c r="C98" s="46">
        <v>3</v>
      </c>
      <c r="D98" s="47" t="s">
        <v>147</v>
      </c>
      <c r="E98" s="48"/>
      <c r="F98" s="48"/>
      <c r="G98" s="48"/>
      <c r="H98" s="48"/>
      <c r="I98" s="48"/>
      <c r="J98" s="48"/>
      <c r="K98" s="48"/>
      <c r="L98" s="48"/>
      <c r="M98" s="49"/>
      <c r="P98" s="29" t="s">
        <v>143</v>
      </c>
      <c r="Q98" s="28" t="s">
        <v>144</v>
      </c>
      <c r="R98" s="27" t="e">
        <f>$R$87</f>
        <v>#VALUE!</v>
      </c>
    </row>
    <row r="99" spans="3:18" ht="19.5" customHeight="1">
      <c r="C99" s="46"/>
      <c r="D99" s="50"/>
      <c r="E99" s="51"/>
      <c r="F99" s="51"/>
      <c r="G99" s="51"/>
      <c r="H99" s="51"/>
      <c r="I99" s="51"/>
      <c r="J99" s="51"/>
      <c r="K99" s="51"/>
      <c r="L99" s="51"/>
      <c r="M99" s="52"/>
    </row>
    <row r="100" spans="3:18" ht="19.5" customHeight="1">
      <c r="C100" s="46">
        <v>4</v>
      </c>
      <c r="D100" s="47" t="s">
        <v>148</v>
      </c>
      <c r="E100" s="48"/>
      <c r="F100" s="48"/>
      <c r="G100" s="48"/>
      <c r="H100" s="48"/>
      <c r="I100" s="48"/>
      <c r="J100" s="48"/>
      <c r="K100" s="48"/>
      <c r="L100" s="48"/>
      <c r="M100" s="49"/>
      <c r="P100" s="43" t="s">
        <v>133</v>
      </c>
      <c r="Q100" s="30"/>
      <c r="R100" s="45" t="e">
        <f>MIN($R$4,$R$15,$R$36,$R$51,$R$87)</f>
        <v>#VALUE!</v>
      </c>
    </row>
    <row r="101" spans="3:18" ht="19.5" customHeight="1">
      <c r="C101" s="46"/>
      <c r="D101" s="50"/>
      <c r="E101" s="51"/>
      <c r="F101" s="51"/>
      <c r="G101" s="51"/>
      <c r="H101" s="51"/>
      <c r="I101" s="51"/>
      <c r="J101" s="51"/>
      <c r="K101" s="51"/>
      <c r="L101" s="51"/>
      <c r="M101" s="52"/>
      <c r="P101" s="44"/>
      <c r="Q101" s="30"/>
      <c r="R101" s="45"/>
    </row>
    <row r="102" spans="3:18" ht="19.5" customHeight="1">
      <c r="C102" s="46">
        <v>5</v>
      </c>
      <c r="D102" s="47" t="s">
        <v>149</v>
      </c>
      <c r="E102" s="48"/>
      <c r="F102" s="48"/>
      <c r="G102" s="48"/>
      <c r="H102" s="48"/>
      <c r="I102" s="48"/>
      <c r="J102" s="48"/>
      <c r="K102" s="48"/>
      <c r="L102" s="48"/>
      <c r="M102" s="49"/>
      <c r="P102" s="53" t="s">
        <v>134</v>
      </c>
      <c r="Q102" s="31"/>
      <c r="R102" s="45" t="e">
        <f>AVERAGE($R$4,$R$15,$R$36,$R$51,$R$87)</f>
        <v>#VALUE!</v>
      </c>
    </row>
    <row r="103" spans="3:18" ht="19.5" customHeight="1">
      <c r="C103" s="46"/>
      <c r="D103" s="50"/>
      <c r="E103" s="51"/>
      <c r="F103" s="51"/>
      <c r="G103" s="51"/>
      <c r="H103" s="51"/>
      <c r="I103" s="51"/>
      <c r="J103" s="51"/>
      <c r="K103" s="51"/>
      <c r="L103" s="51"/>
      <c r="M103" s="52"/>
      <c r="P103" s="54"/>
      <c r="Q103" s="26"/>
      <c r="R103" s="45"/>
    </row>
    <row r="104" spans="3:18">
      <c r="E104" s="13"/>
    </row>
  </sheetData>
  <mergeCells count="82">
    <mergeCell ref="P100:P101"/>
    <mergeCell ref="R100:R101"/>
    <mergeCell ref="C102:C103"/>
    <mergeCell ref="D102:M103"/>
    <mergeCell ref="P102:P103"/>
    <mergeCell ref="R102:R103"/>
    <mergeCell ref="C96:C97"/>
    <mergeCell ref="D96:M97"/>
    <mergeCell ref="C98:C99"/>
    <mergeCell ref="D98:M99"/>
    <mergeCell ref="C100:C101"/>
    <mergeCell ref="D100:M101"/>
    <mergeCell ref="O87:O88"/>
    <mergeCell ref="P87:P88"/>
    <mergeCell ref="Q87:Q88"/>
    <mergeCell ref="R87:R88"/>
    <mergeCell ref="C92:F93"/>
    <mergeCell ref="C94:C95"/>
    <mergeCell ref="D94:M95"/>
    <mergeCell ref="A87:A88"/>
    <mergeCell ref="I87:I88"/>
    <mergeCell ref="J87:J88"/>
    <mergeCell ref="L87:L88"/>
    <mergeCell ref="M87:M88"/>
    <mergeCell ref="N87:N88"/>
    <mergeCell ref="Q51:Q52"/>
    <mergeCell ref="R51:R52"/>
    <mergeCell ref="C85:E85"/>
    <mergeCell ref="F85:H85"/>
    <mergeCell ref="I85:K85"/>
    <mergeCell ref="L85:N85"/>
    <mergeCell ref="O85:Q85"/>
    <mergeCell ref="A51:A52"/>
    <mergeCell ref="L51:L52"/>
    <mergeCell ref="M51:M52"/>
    <mergeCell ref="N51:N52"/>
    <mergeCell ref="O51:O52"/>
    <mergeCell ref="P51:P52"/>
    <mergeCell ref="Q36:Q39"/>
    <mergeCell ref="R36:R39"/>
    <mergeCell ref="C49:E49"/>
    <mergeCell ref="F49:H49"/>
    <mergeCell ref="I49:K49"/>
    <mergeCell ref="L49:N49"/>
    <mergeCell ref="O49:Q49"/>
    <mergeCell ref="A36:A39"/>
    <mergeCell ref="L36:L39"/>
    <mergeCell ref="M36:M39"/>
    <mergeCell ref="N36:N39"/>
    <mergeCell ref="O36:O39"/>
    <mergeCell ref="P36:P39"/>
    <mergeCell ref="Q15:Q18"/>
    <mergeCell ref="R15:R18"/>
    <mergeCell ref="C34:E34"/>
    <mergeCell ref="F34:H34"/>
    <mergeCell ref="I34:K34"/>
    <mergeCell ref="L34:N34"/>
    <mergeCell ref="O34:Q34"/>
    <mergeCell ref="A15:A18"/>
    <mergeCell ref="L15:L18"/>
    <mergeCell ref="M15:M18"/>
    <mergeCell ref="N15:N18"/>
    <mergeCell ref="O15:O18"/>
    <mergeCell ref="P15:P18"/>
    <mergeCell ref="P4:P7"/>
    <mergeCell ref="Q4:Q7"/>
    <mergeCell ref="R4:R7"/>
    <mergeCell ref="C13:E13"/>
    <mergeCell ref="F13:H13"/>
    <mergeCell ref="I13:K13"/>
    <mergeCell ref="L13:N13"/>
    <mergeCell ref="O13:Q13"/>
    <mergeCell ref="C2:E2"/>
    <mergeCell ref="F2:H2"/>
    <mergeCell ref="I2:K2"/>
    <mergeCell ref="L2:N2"/>
    <mergeCell ref="O2:Q2"/>
    <mergeCell ref="A4:A7"/>
    <mergeCell ref="L4:L7"/>
    <mergeCell ref="M4:M7"/>
    <mergeCell ref="N4:N7"/>
    <mergeCell ref="O4:O7"/>
  </mergeCells>
  <pageMargins left="0" right="0" top="0" bottom="0" header="0" footer="0"/>
  <pageSetup paperSize="9" scale="40" fitToHeight="0" orientation="landscape" r:id="rId1"/>
  <rowBreaks count="2" manualBreakCount="2">
    <brk id="12" max="20" man="1"/>
    <brk id="43" max="20" man="1"/>
  </row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Value!$A$4:$A$6</xm:f>
          </x14:formula1>
          <xm:sqref>E4:E7 H4:H7 K4:K7 N4:N7 Q4:Q7 E15:E18 H15:H18 K15:K18 N15:N18 Q15:Q18 E36:E39 H36:H39 K36:K39 N36:N39 Q36:Q39 E51:E52 H51:H52 K51:K52 N51:N52 Q51:Q52 E87:E88 H87:H88 K87:K88 N87:N88 Q87:Q88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pageSetUpPr fitToPage="1"/>
  </sheetPr>
  <dimension ref="A2:R104"/>
  <sheetViews>
    <sheetView view="pageBreakPreview" zoomScale="70" zoomScaleNormal="85" zoomScaleSheetLayoutView="70" workbookViewId="0">
      <pane xSplit="2" ySplit="3" topLeftCell="D42" activePane="bottomRight" state="frozen"/>
      <selection pane="topRight" activeCell="C1" sqref="C1"/>
      <selection pane="bottomLeft" activeCell="A3" sqref="A3"/>
      <selection pane="bottomRight" activeCell="K6" sqref="K6"/>
    </sheetView>
  </sheetViews>
  <sheetFormatPr defaultColWidth="8.75" defaultRowHeight="18.600000000000001"/>
  <cols>
    <col min="1" max="1" width="12.625" style="2" bestFit="1" customWidth="1"/>
    <col min="2" max="2" width="5.5" style="2" customWidth="1"/>
    <col min="3" max="3" width="14.875" style="3" customWidth="1"/>
    <col min="4" max="4" width="38.125" style="3" customWidth="1"/>
    <col min="5" max="5" width="6.5" style="2" customWidth="1"/>
    <col min="6" max="6" width="14.875" style="3" customWidth="1"/>
    <col min="7" max="7" width="38.125" style="3" customWidth="1"/>
    <col min="8" max="8" width="6.5" style="2" customWidth="1"/>
    <col min="9" max="9" width="14.875" style="3" customWidth="1"/>
    <col min="10" max="10" width="38.125" style="3" customWidth="1"/>
    <col min="11" max="11" width="6.5" style="2" customWidth="1"/>
    <col min="12" max="12" width="14.875" style="3" customWidth="1"/>
    <col min="13" max="13" width="38.125" style="3" customWidth="1"/>
    <col min="14" max="14" width="6.5" style="2" customWidth="1"/>
    <col min="15" max="15" width="14.875" style="3" customWidth="1"/>
    <col min="16" max="16" width="38.125" style="3" customWidth="1"/>
    <col min="17" max="17" width="6.5" style="2" customWidth="1"/>
    <col min="18" max="18" width="12.875" style="2" customWidth="1"/>
    <col min="19" max="16384" width="8.75" style="4"/>
  </cols>
  <sheetData>
    <row r="2" spans="1:18" ht="62.35">
      <c r="A2" s="8" t="s">
        <v>0</v>
      </c>
      <c r="B2" s="8" t="s">
        <v>13</v>
      </c>
      <c r="C2" s="67" t="s">
        <v>1</v>
      </c>
      <c r="D2" s="67"/>
      <c r="E2" s="67"/>
      <c r="F2" s="67" t="s">
        <v>2</v>
      </c>
      <c r="G2" s="67"/>
      <c r="H2" s="67"/>
      <c r="I2" s="67" t="s">
        <v>3</v>
      </c>
      <c r="J2" s="67"/>
      <c r="K2" s="67"/>
      <c r="L2" s="67" t="s">
        <v>4</v>
      </c>
      <c r="M2" s="67"/>
      <c r="N2" s="67"/>
      <c r="O2" s="67" t="s">
        <v>5</v>
      </c>
      <c r="P2" s="67"/>
      <c r="Q2" s="67"/>
      <c r="R2" s="9" t="s">
        <v>132</v>
      </c>
    </row>
    <row r="3" spans="1:18" ht="19.3">
      <c r="A3" s="5"/>
      <c r="B3" s="5"/>
      <c r="C3" s="6" t="s">
        <v>14</v>
      </c>
      <c r="D3" s="6" t="s">
        <v>15</v>
      </c>
      <c r="E3" s="6" t="s">
        <v>11</v>
      </c>
      <c r="F3" s="6" t="s">
        <v>14</v>
      </c>
      <c r="G3" s="6" t="s">
        <v>15</v>
      </c>
      <c r="H3" s="6" t="s">
        <v>11</v>
      </c>
      <c r="I3" s="6" t="s">
        <v>14</v>
      </c>
      <c r="J3" s="6" t="s">
        <v>15</v>
      </c>
      <c r="K3" s="6" t="s">
        <v>11</v>
      </c>
      <c r="L3" s="6" t="s">
        <v>14</v>
      </c>
      <c r="M3" s="6" t="s">
        <v>15</v>
      </c>
      <c r="N3" s="6" t="s">
        <v>11</v>
      </c>
      <c r="O3" s="6" t="s">
        <v>14</v>
      </c>
      <c r="P3" s="6" t="s">
        <v>15</v>
      </c>
      <c r="Q3" s="6" t="s">
        <v>11</v>
      </c>
      <c r="R3" s="7"/>
    </row>
    <row r="4" spans="1:18" ht="409.6">
      <c r="A4" s="76" t="s">
        <v>6</v>
      </c>
      <c r="B4" s="10">
        <v>1</v>
      </c>
      <c r="C4" s="11" t="s">
        <v>16</v>
      </c>
      <c r="D4" s="11" t="s">
        <v>23</v>
      </c>
      <c r="E4" s="22">
        <v>1</v>
      </c>
      <c r="F4" s="11" t="s">
        <v>21</v>
      </c>
      <c r="G4" s="11" t="s">
        <v>27</v>
      </c>
      <c r="H4" s="22">
        <v>0</v>
      </c>
      <c r="I4" s="11" t="s">
        <v>34</v>
      </c>
      <c r="J4" s="11" t="s">
        <v>35</v>
      </c>
      <c r="K4" s="22">
        <v>1</v>
      </c>
      <c r="L4" s="55" t="s">
        <v>38</v>
      </c>
      <c r="M4" s="55" t="s">
        <v>39</v>
      </c>
      <c r="N4" s="57"/>
      <c r="O4" s="55" t="s">
        <v>41</v>
      </c>
      <c r="P4" s="55" t="s">
        <v>42</v>
      </c>
      <c r="Q4" s="57"/>
      <c r="R4" s="59" t="e">
        <f>VALUE(IF(E9&gt;0,"0.00",IF(H9&gt;0,"1.00",IF(K9&gt;0,"2.00",IF(N9&gt;0,"3.00",IF(Q9&gt;0,"4.00","5.00"))))))</f>
        <v>#VALUE!</v>
      </c>
    </row>
    <row r="5" spans="1:18" ht="180.4">
      <c r="A5" s="76"/>
      <c r="B5" s="10">
        <v>2</v>
      </c>
      <c r="C5" s="11" t="s">
        <v>17</v>
      </c>
      <c r="D5" s="11" t="s">
        <v>40</v>
      </c>
      <c r="E5" s="22"/>
      <c r="F5" s="11" t="s">
        <v>29</v>
      </c>
      <c r="G5" s="11" t="s">
        <v>28</v>
      </c>
      <c r="H5" s="22"/>
      <c r="I5" s="11" t="s">
        <v>31</v>
      </c>
      <c r="J5" s="11" t="s">
        <v>107</v>
      </c>
      <c r="K5" s="22"/>
      <c r="L5" s="55"/>
      <c r="M5" s="55"/>
      <c r="N5" s="69"/>
      <c r="O5" s="56"/>
      <c r="P5" s="55"/>
      <c r="Q5" s="69"/>
      <c r="R5" s="70"/>
    </row>
    <row r="6" spans="1:18" ht="304.35000000000002">
      <c r="A6" s="76"/>
      <c r="B6" s="10">
        <v>3</v>
      </c>
      <c r="C6" s="11" t="s">
        <v>19</v>
      </c>
      <c r="D6" s="11" t="s">
        <v>24</v>
      </c>
      <c r="E6" s="22"/>
      <c r="F6" s="11" t="s">
        <v>22</v>
      </c>
      <c r="G6" s="11" t="s">
        <v>25</v>
      </c>
      <c r="H6" s="22"/>
      <c r="I6" s="11" t="s">
        <v>32</v>
      </c>
      <c r="J6" s="11" t="s">
        <v>30</v>
      </c>
      <c r="K6" s="22"/>
      <c r="L6" s="55"/>
      <c r="M6" s="55"/>
      <c r="N6" s="69"/>
      <c r="O6" s="56"/>
      <c r="P6" s="55"/>
      <c r="Q6" s="69"/>
      <c r="R6" s="70"/>
    </row>
    <row r="7" spans="1:18" ht="269.45">
      <c r="A7" s="76"/>
      <c r="B7" s="10">
        <v>4</v>
      </c>
      <c r="C7" s="11" t="s">
        <v>18</v>
      </c>
      <c r="D7" s="11" t="s">
        <v>20</v>
      </c>
      <c r="E7" s="22">
        <v>1</v>
      </c>
      <c r="F7" s="11" t="s">
        <v>26</v>
      </c>
      <c r="G7" s="11" t="s">
        <v>36</v>
      </c>
      <c r="H7" s="22">
        <v>1</v>
      </c>
      <c r="I7" s="11" t="s">
        <v>33</v>
      </c>
      <c r="J7" s="11" t="s">
        <v>37</v>
      </c>
      <c r="K7" s="22">
        <v>1</v>
      </c>
      <c r="L7" s="55"/>
      <c r="M7" s="55"/>
      <c r="N7" s="58"/>
      <c r="O7" s="56"/>
      <c r="P7" s="55"/>
      <c r="Q7" s="58"/>
      <c r="R7" s="60"/>
    </row>
    <row r="8" spans="1:18" ht="23.05">
      <c r="A8" s="12"/>
      <c r="B8" s="13"/>
      <c r="C8" s="1"/>
      <c r="D8" s="19" t="s">
        <v>125</v>
      </c>
      <c r="E8" s="10">
        <f>COUNTIF($E$4:$E$7,1)+COUNTIF($E$4:$E$7,"-")</f>
        <v>2</v>
      </c>
      <c r="F8" s="1"/>
      <c r="G8" s="19" t="s">
        <v>125</v>
      </c>
      <c r="H8" s="10">
        <f>COUNTIF(H4:H7,1)+COUNTIF(H4:H7,"-")</f>
        <v>1</v>
      </c>
      <c r="I8" s="1"/>
      <c r="J8" s="19" t="s">
        <v>125</v>
      </c>
      <c r="K8" s="10">
        <f>COUNTIF(K4:K7,1)+COUNTIF(K4:K7,"-")</f>
        <v>2</v>
      </c>
      <c r="L8" s="1"/>
      <c r="M8" s="19" t="s">
        <v>125</v>
      </c>
      <c r="N8" s="10">
        <f>COUNTIF(N4:N7,1)+COUNTIF(N4:N7,"-")</f>
        <v>0</v>
      </c>
      <c r="O8" s="14"/>
      <c r="P8" s="19" t="s">
        <v>125</v>
      </c>
      <c r="Q8" s="10">
        <f>COUNTIF(Q4:Q7,1)+COUNTIF(Q4:Q7,"-")</f>
        <v>0</v>
      </c>
      <c r="R8" s="13"/>
    </row>
    <row r="9" spans="1:18" ht="23.05">
      <c r="A9" s="12"/>
      <c r="B9" s="13"/>
      <c r="C9" s="1"/>
      <c r="D9" s="20" t="s">
        <v>126</v>
      </c>
      <c r="E9" s="21">
        <f>COUNTIF($E$4:$E$7,0)</f>
        <v>0</v>
      </c>
      <c r="F9" s="1"/>
      <c r="G9" s="20" t="s">
        <v>126</v>
      </c>
      <c r="H9" s="21">
        <f>COUNTIF(H4:H7,0)</f>
        <v>1</v>
      </c>
      <c r="I9" s="1"/>
      <c r="J9" s="20" t="s">
        <v>126</v>
      </c>
      <c r="K9" s="21">
        <f>COUNTIF(K4:K7,0)</f>
        <v>0</v>
      </c>
      <c r="L9" s="1"/>
      <c r="M9" s="20" t="s">
        <v>126</v>
      </c>
      <c r="N9" s="21">
        <f>COUNTIF(N4:N7,0)</f>
        <v>0</v>
      </c>
      <c r="O9" s="14"/>
      <c r="P9" s="20" t="s">
        <v>126</v>
      </c>
      <c r="Q9" s="21">
        <f>COUNTIF(Q4:Q7,0)</f>
        <v>0</v>
      </c>
      <c r="R9" s="13"/>
    </row>
    <row r="10" spans="1:18" ht="23.05">
      <c r="A10" s="12"/>
      <c r="B10" s="13"/>
      <c r="C10" s="1"/>
      <c r="D10" s="1"/>
      <c r="E10" s="13"/>
      <c r="F10" s="1"/>
      <c r="G10" s="1"/>
      <c r="H10" s="13"/>
      <c r="I10" s="1"/>
      <c r="J10" s="1"/>
      <c r="K10" s="13"/>
      <c r="L10" s="1"/>
      <c r="M10" s="1"/>
      <c r="N10" s="13"/>
      <c r="O10" s="14"/>
      <c r="P10" s="1"/>
      <c r="Q10" s="13"/>
      <c r="R10" s="13"/>
    </row>
    <row r="11" spans="1:18" ht="23.05">
      <c r="A11" s="12"/>
      <c r="B11" s="13"/>
      <c r="C11" s="1"/>
      <c r="D11" s="1"/>
      <c r="E11" s="13"/>
      <c r="F11" s="1"/>
      <c r="G11" s="1"/>
      <c r="H11" s="13"/>
      <c r="I11" s="1"/>
      <c r="J11" s="1"/>
      <c r="K11" s="13"/>
      <c r="L11" s="1"/>
      <c r="M11" s="1"/>
      <c r="N11" s="13"/>
      <c r="O11" s="14"/>
      <c r="P11" s="1"/>
      <c r="Q11" s="13"/>
      <c r="R11" s="13"/>
    </row>
    <row r="12" spans="1:18" ht="23.05">
      <c r="A12" s="12"/>
      <c r="B12" s="13"/>
      <c r="C12" s="1"/>
      <c r="D12" s="1"/>
      <c r="E12" s="13"/>
      <c r="F12" s="1"/>
      <c r="G12" s="1"/>
      <c r="H12" s="13"/>
      <c r="I12" s="1"/>
      <c r="J12" s="1"/>
      <c r="K12" s="13"/>
      <c r="L12" s="1"/>
      <c r="M12" s="1"/>
      <c r="N12" s="13"/>
      <c r="O12" s="14"/>
      <c r="P12" s="1"/>
      <c r="Q12" s="13"/>
      <c r="R12" s="13"/>
    </row>
    <row r="13" spans="1:18" ht="41.6">
      <c r="A13" s="8" t="s">
        <v>0</v>
      </c>
      <c r="B13" s="8" t="s">
        <v>13</v>
      </c>
      <c r="C13" s="67" t="s">
        <v>1</v>
      </c>
      <c r="D13" s="67"/>
      <c r="E13" s="67"/>
      <c r="F13" s="67" t="s">
        <v>2</v>
      </c>
      <c r="G13" s="67"/>
      <c r="H13" s="67"/>
      <c r="I13" s="67" t="s">
        <v>3</v>
      </c>
      <c r="J13" s="67"/>
      <c r="K13" s="67"/>
      <c r="L13" s="67" t="s">
        <v>4</v>
      </c>
      <c r="M13" s="67"/>
      <c r="N13" s="67"/>
      <c r="O13" s="67" t="s">
        <v>5</v>
      </c>
      <c r="P13" s="67"/>
      <c r="Q13" s="67"/>
      <c r="R13" s="9" t="s">
        <v>132</v>
      </c>
    </row>
    <row r="14" spans="1:18" ht="19.3">
      <c r="A14" s="5"/>
      <c r="B14" s="5"/>
      <c r="C14" s="6" t="s">
        <v>14</v>
      </c>
      <c r="D14" s="6" t="s">
        <v>15</v>
      </c>
      <c r="E14" s="6" t="s">
        <v>11</v>
      </c>
      <c r="F14" s="6" t="s">
        <v>14</v>
      </c>
      <c r="G14" s="6" t="s">
        <v>15</v>
      </c>
      <c r="H14" s="6" t="s">
        <v>11</v>
      </c>
      <c r="I14" s="6" t="s">
        <v>14</v>
      </c>
      <c r="J14" s="6" t="s">
        <v>15</v>
      </c>
      <c r="K14" s="6" t="s">
        <v>11</v>
      </c>
      <c r="L14" s="6" t="s">
        <v>14</v>
      </c>
      <c r="M14" s="6" t="s">
        <v>15</v>
      </c>
      <c r="N14" s="6" t="s">
        <v>11</v>
      </c>
      <c r="O14" s="6" t="s">
        <v>14</v>
      </c>
      <c r="P14" s="6" t="s">
        <v>15</v>
      </c>
      <c r="Q14" s="6" t="s">
        <v>11</v>
      </c>
      <c r="R14" s="7"/>
    </row>
    <row r="15" spans="1:18" ht="391.95">
      <c r="A15" s="75" t="s">
        <v>7</v>
      </c>
      <c r="B15" s="10">
        <v>1</v>
      </c>
      <c r="C15" s="11" t="s">
        <v>46</v>
      </c>
      <c r="D15" s="11" t="s">
        <v>47</v>
      </c>
      <c r="E15" s="22"/>
      <c r="F15" s="11" t="s">
        <v>48</v>
      </c>
      <c r="G15" s="11" t="s">
        <v>51</v>
      </c>
      <c r="H15" s="22"/>
      <c r="I15" s="11" t="s">
        <v>49</v>
      </c>
      <c r="J15" s="11" t="s">
        <v>71</v>
      </c>
      <c r="K15" s="22">
        <v>1</v>
      </c>
      <c r="L15" s="65" t="s">
        <v>43</v>
      </c>
      <c r="M15" s="65" t="s">
        <v>39</v>
      </c>
      <c r="N15" s="57"/>
      <c r="O15" s="65" t="s">
        <v>44</v>
      </c>
      <c r="P15" s="65" t="s">
        <v>45</v>
      </c>
      <c r="Q15" s="57"/>
      <c r="R15" s="59" t="e">
        <f>VALUE(IF(E20&gt;0,"0.00",IF(H20&gt;0,"1.00",IF(K20&gt;0,"2.00",IF(N20&gt;0,"3.00",IF(Q20&gt;0,"4.00","5.00"))))))</f>
        <v>#VALUE!</v>
      </c>
    </row>
    <row r="16" spans="1:18" ht="196.7">
      <c r="A16" s="75"/>
      <c r="B16" s="10">
        <v>2</v>
      </c>
      <c r="C16" s="11" t="s">
        <v>76</v>
      </c>
      <c r="D16" s="11" t="s">
        <v>53</v>
      </c>
      <c r="E16" s="22">
        <v>1</v>
      </c>
      <c r="F16" s="11" t="s">
        <v>50</v>
      </c>
      <c r="G16" s="11" t="s">
        <v>52</v>
      </c>
      <c r="H16" s="22">
        <v>1</v>
      </c>
      <c r="I16" s="11" t="s">
        <v>54</v>
      </c>
      <c r="J16" s="11" t="s">
        <v>82</v>
      </c>
      <c r="K16" s="22">
        <v>1</v>
      </c>
      <c r="L16" s="72"/>
      <c r="M16" s="72"/>
      <c r="N16" s="69"/>
      <c r="O16" s="73"/>
      <c r="P16" s="72"/>
      <c r="Q16" s="69"/>
      <c r="R16" s="70"/>
    </row>
    <row r="17" spans="1:18" ht="196">
      <c r="A17" s="75"/>
      <c r="B17" s="10">
        <v>3</v>
      </c>
      <c r="C17" s="11" t="s">
        <v>55</v>
      </c>
      <c r="D17" s="11" t="s">
        <v>57</v>
      </c>
      <c r="E17" s="22">
        <v>1</v>
      </c>
      <c r="F17" s="11" t="s">
        <v>56</v>
      </c>
      <c r="G17" s="11" t="s">
        <v>58</v>
      </c>
      <c r="H17" s="22">
        <v>1</v>
      </c>
      <c r="I17" s="11" t="s">
        <v>59</v>
      </c>
      <c r="J17" s="11" t="s">
        <v>60</v>
      </c>
      <c r="K17" s="22">
        <v>1</v>
      </c>
      <c r="L17" s="72"/>
      <c r="M17" s="72"/>
      <c r="N17" s="69"/>
      <c r="O17" s="73"/>
      <c r="P17" s="72"/>
      <c r="Q17" s="69"/>
      <c r="R17" s="70"/>
    </row>
    <row r="18" spans="1:18" ht="124.7">
      <c r="A18" s="75"/>
      <c r="B18" s="10">
        <v>4</v>
      </c>
      <c r="C18" s="11" t="s">
        <v>61</v>
      </c>
      <c r="D18" s="11" t="s">
        <v>62</v>
      </c>
      <c r="E18" s="22">
        <v>0</v>
      </c>
      <c r="F18" s="11" t="s">
        <v>63</v>
      </c>
      <c r="G18" s="11" t="s">
        <v>64</v>
      </c>
      <c r="H18" s="22">
        <v>1</v>
      </c>
      <c r="I18" s="11" t="s">
        <v>65</v>
      </c>
      <c r="J18" s="11" t="s">
        <v>66</v>
      </c>
      <c r="K18" s="22">
        <v>1</v>
      </c>
      <c r="L18" s="66"/>
      <c r="M18" s="66"/>
      <c r="N18" s="58"/>
      <c r="O18" s="74"/>
      <c r="P18" s="66"/>
      <c r="Q18" s="58"/>
      <c r="R18" s="60"/>
    </row>
    <row r="19" spans="1:18">
      <c r="D19" s="19" t="s">
        <v>125</v>
      </c>
      <c r="E19" s="10">
        <f>COUNTIF(E15:E18,1)+COUNTIF(E15:E18,"-")</f>
        <v>2</v>
      </c>
      <c r="G19" s="19" t="s">
        <v>125</v>
      </c>
      <c r="H19" s="10">
        <f>COUNTIF(H15:H18,1)+COUNTIF(H15:H18,"-")</f>
        <v>3</v>
      </c>
      <c r="J19" s="19" t="s">
        <v>125</v>
      </c>
      <c r="K19" s="10">
        <f>COUNTIF(K15:K18,1)+COUNTIF(K15:K18,"-")</f>
        <v>4</v>
      </c>
      <c r="M19" s="19" t="s">
        <v>125</v>
      </c>
      <c r="N19" s="10">
        <f>COUNTIF(N15:N18,1)+COUNTIF(N15:N18,"-")</f>
        <v>0</v>
      </c>
      <c r="P19" s="19" t="s">
        <v>125</v>
      </c>
      <c r="Q19" s="10">
        <f>COUNTIF(Q15:Q18,1)+COUNTIF(Q15:Q18,"-")</f>
        <v>0</v>
      </c>
    </row>
    <row r="20" spans="1:18">
      <c r="D20" s="20" t="s">
        <v>126</v>
      </c>
      <c r="E20" s="21">
        <f>COUNTIF(E15:E18,0)</f>
        <v>1</v>
      </c>
      <c r="G20" s="20" t="s">
        <v>126</v>
      </c>
      <c r="H20" s="21">
        <f>COUNTIF(H15:H18,0)</f>
        <v>0</v>
      </c>
      <c r="J20" s="20" t="s">
        <v>126</v>
      </c>
      <c r="K20" s="21">
        <f>COUNTIF(K15:K18,0)</f>
        <v>0</v>
      </c>
      <c r="M20" s="20" t="s">
        <v>126</v>
      </c>
      <c r="N20" s="21">
        <f>COUNTIF(N15:N18,0)</f>
        <v>0</v>
      </c>
      <c r="P20" s="20" t="s">
        <v>126</v>
      </c>
      <c r="Q20" s="21">
        <f>COUNTIF(Q15:Q18,0)</f>
        <v>0</v>
      </c>
    </row>
    <row r="29" spans="1:18" s="2" customFormat="1">
      <c r="C29" s="3"/>
      <c r="D29" s="3"/>
      <c r="F29" s="3"/>
      <c r="G29" s="3"/>
      <c r="I29" s="3"/>
      <c r="J29" s="1"/>
      <c r="L29" s="3"/>
      <c r="M29" s="3"/>
      <c r="O29" s="3"/>
      <c r="P29" s="3"/>
    </row>
    <row r="34" spans="1:18" ht="41.6">
      <c r="A34" s="8" t="s">
        <v>0</v>
      </c>
      <c r="B34" s="8" t="s">
        <v>13</v>
      </c>
      <c r="C34" s="67" t="s">
        <v>1</v>
      </c>
      <c r="D34" s="67"/>
      <c r="E34" s="67"/>
      <c r="F34" s="67" t="s">
        <v>2</v>
      </c>
      <c r="G34" s="67"/>
      <c r="H34" s="67"/>
      <c r="I34" s="67" t="s">
        <v>3</v>
      </c>
      <c r="J34" s="67"/>
      <c r="K34" s="67"/>
      <c r="L34" s="67" t="s">
        <v>4</v>
      </c>
      <c r="M34" s="67"/>
      <c r="N34" s="67"/>
      <c r="O34" s="67" t="s">
        <v>5</v>
      </c>
      <c r="P34" s="67"/>
      <c r="Q34" s="67"/>
      <c r="R34" s="9" t="s">
        <v>132</v>
      </c>
    </row>
    <row r="35" spans="1:18" ht="19.3">
      <c r="A35" s="5"/>
      <c r="B35" s="5"/>
      <c r="C35" s="6" t="s">
        <v>14</v>
      </c>
      <c r="D35" s="6" t="s">
        <v>15</v>
      </c>
      <c r="E35" s="6" t="s">
        <v>11</v>
      </c>
      <c r="F35" s="6" t="s">
        <v>14</v>
      </c>
      <c r="G35" s="6" t="s">
        <v>15</v>
      </c>
      <c r="H35" s="6" t="s">
        <v>11</v>
      </c>
      <c r="I35" s="6" t="s">
        <v>14</v>
      </c>
      <c r="J35" s="6" t="s">
        <v>15</v>
      </c>
      <c r="K35" s="6" t="s">
        <v>11</v>
      </c>
      <c r="L35" s="6" t="s">
        <v>14</v>
      </c>
      <c r="M35" s="6" t="s">
        <v>15</v>
      </c>
      <c r="N35" s="6" t="s">
        <v>11</v>
      </c>
      <c r="O35" s="6" t="s">
        <v>14</v>
      </c>
      <c r="P35" s="6" t="s">
        <v>15</v>
      </c>
      <c r="Q35" s="6" t="s">
        <v>11</v>
      </c>
      <c r="R35" s="7"/>
    </row>
    <row r="36" spans="1:18" ht="409.6">
      <c r="A36" s="71" t="s">
        <v>8</v>
      </c>
      <c r="B36" s="10">
        <v>1</v>
      </c>
      <c r="C36" s="11" t="s">
        <v>67</v>
      </c>
      <c r="D36" s="11" t="s">
        <v>90</v>
      </c>
      <c r="E36" s="22">
        <v>1</v>
      </c>
      <c r="F36" s="11" t="s">
        <v>68</v>
      </c>
      <c r="G36" s="11" t="s">
        <v>69</v>
      </c>
      <c r="H36" s="22"/>
      <c r="I36" s="11" t="s">
        <v>70</v>
      </c>
      <c r="J36" s="11" t="s">
        <v>103</v>
      </c>
      <c r="K36" s="22">
        <v>1</v>
      </c>
      <c r="L36" s="65" t="s">
        <v>72</v>
      </c>
      <c r="M36" s="65" t="s">
        <v>39</v>
      </c>
      <c r="N36" s="57"/>
      <c r="O36" s="65" t="s">
        <v>73</v>
      </c>
      <c r="P36" s="65" t="s">
        <v>74</v>
      </c>
      <c r="Q36" s="57"/>
      <c r="R36" s="59" t="e">
        <f>VALUE(IF(E41&gt;0,"0.00",IF(H41&gt;0,"1.00",IF(K41&gt;0,"2.00",IF(N41&gt;0,"3.00",IF(Q41&gt;0,"4.00","5.00"))))))</f>
        <v>#VALUE!</v>
      </c>
    </row>
    <row r="37" spans="1:18" ht="196.7">
      <c r="A37" s="71"/>
      <c r="B37" s="10">
        <v>2</v>
      </c>
      <c r="C37" s="11" t="s">
        <v>75</v>
      </c>
      <c r="D37" s="11" t="s">
        <v>77</v>
      </c>
      <c r="E37" s="22"/>
      <c r="F37" s="11" t="s">
        <v>78</v>
      </c>
      <c r="G37" s="11" t="s">
        <v>79</v>
      </c>
      <c r="H37" s="22">
        <v>1</v>
      </c>
      <c r="I37" s="11" t="s">
        <v>80</v>
      </c>
      <c r="J37" s="11" t="s">
        <v>81</v>
      </c>
      <c r="K37" s="22">
        <v>1</v>
      </c>
      <c r="L37" s="72"/>
      <c r="M37" s="72"/>
      <c r="N37" s="69"/>
      <c r="O37" s="73"/>
      <c r="P37" s="72"/>
      <c r="Q37" s="69"/>
      <c r="R37" s="70"/>
    </row>
    <row r="38" spans="1:18" ht="249.4">
      <c r="A38" s="71"/>
      <c r="B38" s="10">
        <v>3</v>
      </c>
      <c r="C38" s="11" t="s">
        <v>83</v>
      </c>
      <c r="D38" s="11" t="s">
        <v>84</v>
      </c>
      <c r="E38" s="22">
        <v>1</v>
      </c>
      <c r="F38" s="11" t="s">
        <v>85</v>
      </c>
      <c r="G38" s="11" t="s">
        <v>87</v>
      </c>
      <c r="H38" s="22">
        <v>1</v>
      </c>
      <c r="I38" s="11" t="s">
        <v>86</v>
      </c>
      <c r="J38" s="11" t="s">
        <v>88</v>
      </c>
      <c r="K38" s="22">
        <v>1</v>
      </c>
      <c r="L38" s="72"/>
      <c r="M38" s="72"/>
      <c r="N38" s="69"/>
      <c r="O38" s="73"/>
      <c r="P38" s="72"/>
      <c r="Q38" s="69"/>
      <c r="R38" s="70"/>
    </row>
    <row r="39" spans="1:18" ht="213.8">
      <c r="A39" s="71"/>
      <c r="B39" s="10">
        <v>4</v>
      </c>
      <c r="C39" s="11" t="s">
        <v>89</v>
      </c>
      <c r="D39" s="11" t="s">
        <v>91</v>
      </c>
      <c r="E39" s="22"/>
      <c r="F39" s="11" t="s">
        <v>92</v>
      </c>
      <c r="G39" s="11" t="s">
        <v>93</v>
      </c>
      <c r="H39" s="22">
        <v>1</v>
      </c>
      <c r="I39" s="11" t="s">
        <v>94</v>
      </c>
      <c r="J39" s="11" t="s">
        <v>95</v>
      </c>
      <c r="K39" s="22">
        <v>1</v>
      </c>
      <c r="L39" s="66"/>
      <c r="M39" s="66"/>
      <c r="N39" s="58"/>
      <c r="O39" s="74"/>
      <c r="P39" s="66"/>
      <c r="Q39" s="58"/>
      <c r="R39" s="60"/>
    </row>
    <row r="40" spans="1:18">
      <c r="D40" s="19" t="s">
        <v>125</v>
      </c>
      <c r="E40" s="10">
        <f>COUNTIF(E36:E39,1)+COUNTIF(E36:E39,"-")</f>
        <v>2</v>
      </c>
      <c r="G40" s="19" t="s">
        <v>125</v>
      </c>
      <c r="H40" s="10">
        <f>COUNTIF(H36:H39,1)+COUNTIF(H36:H39,"-")</f>
        <v>3</v>
      </c>
      <c r="J40" s="19" t="s">
        <v>125</v>
      </c>
      <c r="K40" s="10">
        <f>COUNTIF(K36:K39,1)+COUNTIF(K36:K39,"-")</f>
        <v>4</v>
      </c>
      <c r="M40" s="19" t="s">
        <v>125</v>
      </c>
      <c r="N40" s="10">
        <f>COUNTIF(N36:N39,1)+COUNTIF(N36:N39,"-")</f>
        <v>0</v>
      </c>
      <c r="P40" s="19" t="s">
        <v>125</v>
      </c>
      <c r="Q40" s="10">
        <f>COUNTIF(Q36:Q39,1)+COUNTIF(Q36:Q39,"-")</f>
        <v>0</v>
      </c>
    </row>
    <row r="41" spans="1:18">
      <c r="D41" s="20" t="s">
        <v>126</v>
      </c>
      <c r="E41" s="21">
        <f>COUNTIF(E36:E39,0)</f>
        <v>0</v>
      </c>
      <c r="G41" s="20" t="s">
        <v>126</v>
      </c>
      <c r="H41" s="21">
        <f>COUNTIF(H36:H39,0)</f>
        <v>0</v>
      </c>
      <c r="J41" s="20" t="s">
        <v>126</v>
      </c>
      <c r="K41" s="21">
        <f>COUNTIF(K36:K39,0)</f>
        <v>0</v>
      </c>
      <c r="M41" s="20" t="s">
        <v>126</v>
      </c>
      <c r="N41" s="21">
        <f>COUNTIF(N36:N39,0)</f>
        <v>0</v>
      </c>
      <c r="P41" s="20" t="s">
        <v>126</v>
      </c>
      <c r="Q41" s="21">
        <f>COUNTIF(Q36:Q39,0)</f>
        <v>0</v>
      </c>
    </row>
    <row r="49" spans="1:18" ht="41.6">
      <c r="A49" s="8" t="s">
        <v>0</v>
      </c>
      <c r="B49" s="8" t="s">
        <v>13</v>
      </c>
      <c r="C49" s="67" t="s">
        <v>1</v>
      </c>
      <c r="D49" s="67"/>
      <c r="E49" s="67"/>
      <c r="F49" s="67" t="s">
        <v>2</v>
      </c>
      <c r="G49" s="67"/>
      <c r="H49" s="67"/>
      <c r="I49" s="67" t="s">
        <v>3</v>
      </c>
      <c r="J49" s="67"/>
      <c r="K49" s="67"/>
      <c r="L49" s="67" t="s">
        <v>4</v>
      </c>
      <c r="M49" s="67"/>
      <c r="N49" s="67"/>
      <c r="O49" s="67" t="s">
        <v>5</v>
      </c>
      <c r="P49" s="67"/>
      <c r="Q49" s="67"/>
      <c r="R49" s="9" t="s">
        <v>132</v>
      </c>
    </row>
    <row r="50" spans="1:18" ht="19.3">
      <c r="A50" s="5"/>
      <c r="B50" s="5"/>
      <c r="C50" s="6" t="s">
        <v>14</v>
      </c>
      <c r="D50" s="6" t="s">
        <v>15</v>
      </c>
      <c r="E50" s="6" t="s">
        <v>11</v>
      </c>
      <c r="F50" s="6" t="s">
        <v>14</v>
      </c>
      <c r="G50" s="6" t="s">
        <v>15</v>
      </c>
      <c r="H50" s="6" t="s">
        <v>11</v>
      </c>
      <c r="I50" s="6" t="s">
        <v>14</v>
      </c>
      <c r="J50" s="6" t="s">
        <v>15</v>
      </c>
      <c r="K50" s="6" t="s">
        <v>11</v>
      </c>
      <c r="L50" s="6" t="s">
        <v>14</v>
      </c>
      <c r="M50" s="6" t="s">
        <v>15</v>
      </c>
      <c r="N50" s="6" t="s">
        <v>11</v>
      </c>
      <c r="O50" s="6" t="s">
        <v>14</v>
      </c>
      <c r="P50" s="6" t="s">
        <v>15</v>
      </c>
      <c r="Q50" s="6" t="s">
        <v>11</v>
      </c>
      <c r="R50" s="7"/>
    </row>
    <row r="51" spans="1:18" ht="374.1">
      <c r="A51" s="68" t="s">
        <v>9</v>
      </c>
      <c r="B51" s="10">
        <v>1</v>
      </c>
      <c r="C51" s="11" t="s">
        <v>96</v>
      </c>
      <c r="D51" s="11" t="s">
        <v>97</v>
      </c>
      <c r="E51" s="22"/>
      <c r="F51" s="11" t="s">
        <v>98</v>
      </c>
      <c r="G51" s="11" t="s">
        <v>102</v>
      </c>
      <c r="H51" s="22"/>
      <c r="I51" s="11" t="s">
        <v>101</v>
      </c>
      <c r="J51" s="11" t="s">
        <v>104</v>
      </c>
      <c r="K51" s="22"/>
      <c r="L51" s="55" t="s">
        <v>108</v>
      </c>
      <c r="M51" s="55" t="s">
        <v>39</v>
      </c>
      <c r="N51" s="57"/>
      <c r="O51" s="55" t="s">
        <v>41</v>
      </c>
      <c r="P51" s="55" t="s">
        <v>42</v>
      </c>
      <c r="Q51" s="57"/>
      <c r="R51" s="59" t="e">
        <f>VALUE(IF(E54&gt;0,"0.00",IF(H54&gt;0,"1.00",IF(K54&gt;0,"2.00",IF(N54&gt;0,"3.00",IF(Q54&gt;0,"4.00","5.00"))))))</f>
        <v>#VALUE!</v>
      </c>
    </row>
    <row r="52" spans="1:18" ht="268">
      <c r="A52" s="68"/>
      <c r="B52" s="10">
        <v>2</v>
      </c>
      <c r="C52" s="11" t="s">
        <v>99</v>
      </c>
      <c r="D52" s="11" t="s">
        <v>100</v>
      </c>
      <c r="E52" s="22"/>
      <c r="F52" s="11" t="s">
        <v>105</v>
      </c>
      <c r="G52" s="11" t="s">
        <v>110</v>
      </c>
      <c r="H52" s="22"/>
      <c r="I52" s="11" t="s">
        <v>106</v>
      </c>
      <c r="J52" s="11" t="s">
        <v>109</v>
      </c>
      <c r="K52" s="22"/>
      <c r="L52" s="55"/>
      <c r="M52" s="55"/>
      <c r="N52" s="58"/>
      <c r="O52" s="56"/>
      <c r="P52" s="55"/>
      <c r="Q52" s="58"/>
      <c r="R52" s="60"/>
    </row>
    <row r="53" spans="1:18">
      <c r="D53" s="19" t="s">
        <v>125</v>
      </c>
      <c r="E53" s="10">
        <f>COUNTIF(E51:E52,1)+COUNTIF(E51:E52,"-")</f>
        <v>0</v>
      </c>
      <c r="G53" s="19" t="s">
        <v>125</v>
      </c>
      <c r="H53" s="10">
        <f>COUNTIF(H51:H52,1)+COUNTIF(H51:H52,"-")</f>
        <v>0</v>
      </c>
      <c r="J53" s="19" t="s">
        <v>125</v>
      </c>
      <c r="K53" s="10">
        <f>COUNTIF(K51:K52,1)+COUNTIF(K51:K52,"-")</f>
        <v>0</v>
      </c>
      <c r="M53" s="19" t="s">
        <v>125</v>
      </c>
      <c r="N53" s="10">
        <f>COUNTIF(N51:N52,1)+COUNTIF(N51:N52,"-")</f>
        <v>0</v>
      </c>
      <c r="P53" s="19" t="s">
        <v>125</v>
      </c>
      <c r="Q53" s="10">
        <f>COUNTIF(Q51:Q52,1)+COUNTIF(Q51:Q52,"-")</f>
        <v>0</v>
      </c>
    </row>
    <row r="54" spans="1:18">
      <c r="D54" s="20" t="s">
        <v>126</v>
      </c>
      <c r="E54" s="21">
        <f>COUNTIF(E51:E52,0)</f>
        <v>0</v>
      </c>
      <c r="G54" s="20" t="s">
        <v>126</v>
      </c>
      <c r="H54" s="21">
        <f>COUNTIF(H51:H52,0)</f>
        <v>0</v>
      </c>
      <c r="J54" s="20" t="s">
        <v>126</v>
      </c>
      <c r="K54" s="21">
        <f>COUNTIF(K51:K52,0)</f>
        <v>0</v>
      </c>
      <c r="M54" s="20" t="s">
        <v>126</v>
      </c>
      <c r="N54" s="21">
        <f>COUNTIF(N51:N52,0)</f>
        <v>0</v>
      </c>
      <c r="P54" s="20" t="s">
        <v>126</v>
      </c>
      <c r="Q54" s="21">
        <f>COUNTIF(Q51:Q52,0)</f>
        <v>0</v>
      </c>
    </row>
    <row r="85" spans="1:18" ht="41.6">
      <c r="A85" s="8" t="s">
        <v>0</v>
      </c>
      <c r="B85" s="8" t="s">
        <v>13</v>
      </c>
      <c r="C85" s="67" t="s">
        <v>1</v>
      </c>
      <c r="D85" s="67"/>
      <c r="E85" s="67"/>
      <c r="F85" s="67" t="s">
        <v>2</v>
      </c>
      <c r="G85" s="67"/>
      <c r="H85" s="67"/>
      <c r="I85" s="67" t="s">
        <v>3</v>
      </c>
      <c r="J85" s="67"/>
      <c r="K85" s="67"/>
      <c r="L85" s="67" t="s">
        <v>4</v>
      </c>
      <c r="M85" s="67"/>
      <c r="N85" s="67"/>
      <c r="O85" s="67" t="s">
        <v>5</v>
      </c>
      <c r="P85" s="67"/>
      <c r="Q85" s="67"/>
      <c r="R85" s="9" t="s">
        <v>132</v>
      </c>
    </row>
    <row r="86" spans="1:18" ht="19.3">
      <c r="A86" s="5"/>
      <c r="B86" s="5"/>
      <c r="C86" s="6" t="s">
        <v>14</v>
      </c>
      <c r="D86" s="6" t="s">
        <v>15</v>
      </c>
      <c r="E86" s="6" t="s">
        <v>11</v>
      </c>
      <c r="F86" s="6" t="s">
        <v>14</v>
      </c>
      <c r="G86" s="6" t="s">
        <v>15</v>
      </c>
      <c r="H86" s="6" t="s">
        <v>11</v>
      </c>
      <c r="I86" s="6" t="s">
        <v>14</v>
      </c>
      <c r="J86" s="6" t="s">
        <v>15</v>
      </c>
      <c r="K86" s="6" t="s">
        <v>11</v>
      </c>
      <c r="L86" s="6" t="s">
        <v>14</v>
      </c>
      <c r="M86" s="6" t="s">
        <v>15</v>
      </c>
      <c r="N86" s="6" t="s">
        <v>11</v>
      </c>
      <c r="O86" s="6" t="s">
        <v>14</v>
      </c>
      <c r="P86" s="6" t="s">
        <v>15</v>
      </c>
      <c r="Q86" s="6" t="s">
        <v>11</v>
      </c>
      <c r="R86" s="7"/>
    </row>
    <row r="87" spans="1:18" ht="302.85000000000002">
      <c r="A87" s="62" t="s">
        <v>10</v>
      </c>
      <c r="B87" s="10">
        <v>1</v>
      </c>
      <c r="C87" s="11" t="s">
        <v>111</v>
      </c>
      <c r="D87" s="11" t="s">
        <v>113</v>
      </c>
      <c r="E87" s="22"/>
      <c r="F87" s="11" t="s">
        <v>115</v>
      </c>
      <c r="G87" s="11" t="s">
        <v>116</v>
      </c>
      <c r="H87" s="22"/>
      <c r="I87" s="63" t="s">
        <v>114</v>
      </c>
      <c r="J87" s="65" t="s">
        <v>117</v>
      </c>
      <c r="K87" s="22"/>
      <c r="L87" s="55" t="s">
        <v>118</v>
      </c>
      <c r="M87" s="55" t="s">
        <v>119</v>
      </c>
      <c r="N87" s="57"/>
      <c r="O87" s="55" t="s">
        <v>120</v>
      </c>
      <c r="P87" s="55" t="s">
        <v>121</v>
      </c>
      <c r="Q87" s="57"/>
      <c r="R87" s="59" t="e">
        <f>VALUE(IF(E90&gt;0,"0.00",IF(H90&gt;0,"1.00",IF(K90&gt;0,"2.00",IF(N90&gt;0,"3.00",IF(Q90&gt;0,"4.00","5.00"))))))</f>
        <v>#VALUE!</v>
      </c>
    </row>
    <row r="88" spans="1:18" ht="374.1">
      <c r="A88" s="62"/>
      <c r="B88" s="10">
        <v>2</v>
      </c>
      <c r="C88" s="11" t="s">
        <v>112</v>
      </c>
      <c r="D88" s="11" t="s">
        <v>124</v>
      </c>
      <c r="E88" s="22"/>
      <c r="F88" s="11" t="s">
        <v>122</v>
      </c>
      <c r="G88" s="11" t="s">
        <v>123</v>
      </c>
      <c r="H88" s="22"/>
      <c r="I88" s="64"/>
      <c r="J88" s="66"/>
      <c r="K88" s="22"/>
      <c r="L88" s="55"/>
      <c r="M88" s="55"/>
      <c r="N88" s="58"/>
      <c r="O88" s="56"/>
      <c r="P88" s="55"/>
      <c r="Q88" s="58"/>
      <c r="R88" s="60"/>
    </row>
    <row r="89" spans="1:18">
      <c r="D89" s="19" t="s">
        <v>125</v>
      </c>
      <c r="E89" s="10">
        <f>COUNTIF(E87:E88,1)+COUNTIF(E87:E88,"-")</f>
        <v>0</v>
      </c>
      <c r="G89" s="19" t="s">
        <v>125</v>
      </c>
      <c r="H89" s="10">
        <f>COUNTIF(H87:H88,1)+COUNTIF(H87:H88,"-")</f>
        <v>0</v>
      </c>
      <c r="J89" s="19" t="s">
        <v>125</v>
      </c>
      <c r="K89" s="10">
        <f>COUNTIF(K87:K88,1)+COUNTIF(K87:K88,"-")</f>
        <v>0</v>
      </c>
      <c r="M89" s="19" t="s">
        <v>125</v>
      </c>
      <c r="N89" s="10">
        <f>COUNTIF(N87:N88,1)+COUNTIF(N87:N88,"-")</f>
        <v>0</v>
      </c>
      <c r="P89" s="19" t="s">
        <v>125</v>
      </c>
      <c r="Q89" s="10">
        <f>COUNTIF(Q87:Q88,1)+COUNTIF(Q87:Q88,"-")</f>
        <v>0</v>
      </c>
    </row>
    <row r="90" spans="1:18">
      <c r="D90" s="20" t="s">
        <v>126</v>
      </c>
      <c r="E90" s="21">
        <f>COUNTIF(E87:E88,0)</f>
        <v>0</v>
      </c>
      <c r="G90" s="20" t="s">
        <v>126</v>
      </c>
      <c r="H90" s="21">
        <f>COUNTIF(H87:H88,0)</f>
        <v>0</v>
      </c>
      <c r="J90" s="20" t="s">
        <v>126</v>
      </c>
      <c r="K90" s="21">
        <f>COUNTIF(K87:K88,0)</f>
        <v>0</v>
      </c>
      <c r="M90" s="20" t="s">
        <v>126</v>
      </c>
      <c r="N90" s="21">
        <f>COUNTIF(N87:N88,0)</f>
        <v>0</v>
      </c>
      <c r="P90" s="20" t="s">
        <v>126</v>
      </c>
      <c r="Q90" s="21">
        <f>COUNTIF(Q87:Q88,0)</f>
        <v>0</v>
      </c>
    </row>
    <row r="92" spans="1:18" ht="19.5" customHeight="1">
      <c r="C92" s="61" t="s">
        <v>130</v>
      </c>
      <c r="D92" s="61"/>
      <c r="E92" s="61"/>
      <c r="F92" s="61"/>
      <c r="G92" s="25"/>
    </row>
    <row r="93" spans="1:18" ht="19.5" customHeight="1">
      <c r="C93" s="61"/>
      <c r="D93" s="61"/>
      <c r="E93" s="61"/>
      <c r="F93" s="61"/>
      <c r="G93" s="25"/>
    </row>
    <row r="94" spans="1:18" ht="19.5" customHeight="1">
      <c r="C94" s="46">
        <v>1</v>
      </c>
      <c r="D94" s="47" t="s">
        <v>145</v>
      </c>
      <c r="E94" s="48"/>
      <c r="F94" s="48"/>
      <c r="G94" s="48"/>
      <c r="H94" s="48"/>
      <c r="I94" s="48"/>
      <c r="J94" s="48"/>
      <c r="K94" s="48"/>
      <c r="L94" s="48"/>
      <c r="M94" s="49"/>
      <c r="P94" s="29" t="s">
        <v>139</v>
      </c>
      <c r="Q94" s="28" t="s">
        <v>144</v>
      </c>
      <c r="R94" s="27" t="e">
        <f>$R$4</f>
        <v>#VALUE!</v>
      </c>
    </row>
    <row r="95" spans="1:18" ht="21" customHeight="1">
      <c r="C95" s="46"/>
      <c r="D95" s="50"/>
      <c r="E95" s="51"/>
      <c r="F95" s="51"/>
      <c r="G95" s="51"/>
      <c r="H95" s="51"/>
      <c r="I95" s="51"/>
      <c r="J95" s="51"/>
      <c r="K95" s="51"/>
      <c r="L95" s="51"/>
      <c r="M95" s="52"/>
      <c r="P95" s="29" t="s">
        <v>140</v>
      </c>
      <c r="Q95" s="28" t="s">
        <v>144</v>
      </c>
      <c r="R95" s="27" t="e">
        <f>$R$15</f>
        <v>#VALUE!</v>
      </c>
    </row>
    <row r="96" spans="1:18" ht="19.5" customHeight="1">
      <c r="C96" s="46">
        <v>2</v>
      </c>
      <c r="D96" s="47" t="s">
        <v>146</v>
      </c>
      <c r="E96" s="48"/>
      <c r="F96" s="48"/>
      <c r="G96" s="48"/>
      <c r="H96" s="48"/>
      <c r="I96" s="48"/>
      <c r="J96" s="48"/>
      <c r="K96" s="48"/>
      <c r="L96" s="48"/>
      <c r="M96" s="49"/>
      <c r="P96" s="29" t="s">
        <v>141</v>
      </c>
      <c r="Q96" s="28" t="s">
        <v>144</v>
      </c>
      <c r="R96" s="27" t="e">
        <f>$R$36</f>
        <v>#VALUE!</v>
      </c>
    </row>
    <row r="97" spans="3:18" ht="19.5" customHeight="1">
      <c r="C97" s="46"/>
      <c r="D97" s="50"/>
      <c r="E97" s="51"/>
      <c r="F97" s="51"/>
      <c r="G97" s="51"/>
      <c r="H97" s="51"/>
      <c r="I97" s="51"/>
      <c r="J97" s="51"/>
      <c r="K97" s="51"/>
      <c r="L97" s="51"/>
      <c r="M97" s="52"/>
      <c r="P97" s="29" t="s">
        <v>142</v>
      </c>
      <c r="Q97" s="28" t="s">
        <v>144</v>
      </c>
      <c r="R97" s="27" t="e">
        <f>$R$51</f>
        <v>#VALUE!</v>
      </c>
    </row>
    <row r="98" spans="3:18" ht="19.5" customHeight="1">
      <c r="C98" s="46">
        <v>3</v>
      </c>
      <c r="D98" s="47" t="s">
        <v>147</v>
      </c>
      <c r="E98" s="48"/>
      <c r="F98" s="48"/>
      <c r="G98" s="48"/>
      <c r="H98" s="48"/>
      <c r="I98" s="48"/>
      <c r="J98" s="48"/>
      <c r="K98" s="48"/>
      <c r="L98" s="48"/>
      <c r="M98" s="49"/>
      <c r="P98" s="29" t="s">
        <v>143</v>
      </c>
      <c r="Q98" s="28" t="s">
        <v>144</v>
      </c>
      <c r="R98" s="27" t="e">
        <f>$R$87</f>
        <v>#VALUE!</v>
      </c>
    </row>
    <row r="99" spans="3:18" ht="19.5" customHeight="1">
      <c r="C99" s="46"/>
      <c r="D99" s="50"/>
      <c r="E99" s="51"/>
      <c r="F99" s="51"/>
      <c r="G99" s="51"/>
      <c r="H99" s="51"/>
      <c r="I99" s="51"/>
      <c r="J99" s="51"/>
      <c r="K99" s="51"/>
      <c r="L99" s="51"/>
      <c r="M99" s="52"/>
    </row>
    <row r="100" spans="3:18" ht="19.5" customHeight="1">
      <c r="C100" s="46">
        <v>4</v>
      </c>
      <c r="D100" s="47" t="s">
        <v>148</v>
      </c>
      <c r="E100" s="48"/>
      <c r="F100" s="48"/>
      <c r="G100" s="48"/>
      <c r="H100" s="48"/>
      <c r="I100" s="48"/>
      <c r="J100" s="48"/>
      <c r="K100" s="48"/>
      <c r="L100" s="48"/>
      <c r="M100" s="49"/>
      <c r="P100" s="43" t="s">
        <v>133</v>
      </c>
      <c r="Q100" s="30"/>
      <c r="R100" s="45" t="e">
        <f>MIN($R$4,$R$15,$R$36,$R$51,$R$87)</f>
        <v>#VALUE!</v>
      </c>
    </row>
    <row r="101" spans="3:18" ht="19.5" customHeight="1">
      <c r="C101" s="46"/>
      <c r="D101" s="50"/>
      <c r="E101" s="51"/>
      <c r="F101" s="51"/>
      <c r="G101" s="51"/>
      <c r="H101" s="51"/>
      <c r="I101" s="51"/>
      <c r="J101" s="51"/>
      <c r="K101" s="51"/>
      <c r="L101" s="51"/>
      <c r="M101" s="52"/>
      <c r="P101" s="44"/>
      <c r="Q101" s="30"/>
      <c r="R101" s="45"/>
    </row>
    <row r="102" spans="3:18" ht="19.5" customHeight="1">
      <c r="C102" s="46">
        <v>5</v>
      </c>
      <c r="D102" s="47" t="s">
        <v>149</v>
      </c>
      <c r="E102" s="48"/>
      <c r="F102" s="48"/>
      <c r="G102" s="48"/>
      <c r="H102" s="48"/>
      <c r="I102" s="48"/>
      <c r="J102" s="48"/>
      <c r="K102" s="48"/>
      <c r="L102" s="48"/>
      <c r="M102" s="49"/>
      <c r="P102" s="53" t="s">
        <v>134</v>
      </c>
      <c r="Q102" s="31"/>
      <c r="R102" s="45" t="e">
        <f>AVERAGE($R$4,$R$15,$R$36,$R$51,$R$87)</f>
        <v>#VALUE!</v>
      </c>
    </row>
    <row r="103" spans="3:18" ht="19.5" customHeight="1">
      <c r="C103" s="46"/>
      <c r="D103" s="50"/>
      <c r="E103" s="51"/>
      <c r="F103" s="51"/>
      <c r="G103" s="51"/>
      <c r="H103" s="51"/>
      <c r="I103" s="51"/>
      <c r="J103" s="51"/>
      <c r="K103" s="51"/>
      <c r="L103" s="51"/>
      <c r="M103" s="52"/>
      <c r="P103" s="54"/>
      <c r="Q103" s="26"/>
      <c r="R103" s="45"/>
    </row>
    <row r="104" spans="3:18">
      <c r="E104" s="13"/>
    </row>
  </sheetData>
  <mergeCells count="82">
    <mergeCell ref="A4:A7"/>
    <mergeCell ref="L4:L7"/>
    <mergeCell ref="M4:M7"/>
    <mergeCell ref="N4:N7"/>
    <mergeCell ref="O4:O7"/>
    <mergeCell ref="C2:E2"/>
    <mergeCell ref="F2:H2"/>
    <mergeCell ref="I2:K2"/>
    <mergeCell ref="L2:N2"/>
    <mergeCell ref="O2:Q2"/>
    <mergeCell ref="P4:P7"/>
    <mergeCell ref="Q4:Q7"/>
    <mergeCell ref="R4:R7"/>
    <mergeCell ref="C13:E13"/>
    <mergeCell ref="F13:H13"/>
    <mergeCell ref="I13:K13"/>
    <mergeCell ref="L13:N13"/>
    <mergeCell ref="O13:Q13"/>
    <mergeCell ref="A15:A18"/>
    <mergeCell ref="L15:L18"/>
    <mergeCell ref="M15:M18"/>
    <mergeCell ref="N15:N18"/>
    <mergeCell ref="O15:O18"/>
    <mergeCell ref="Q15:Q18"/>
    <mergeCell ref="R15:R18"/>
    <mergeCell ref="C34:E34"/>
    <mergeCell ref="F34:H34"/>
    <mergeCell ref="I34:K34"/>
    <mergeCell ref="L34:N34"/>
    <mergeCell ref="O34:Q34"/>
    <mergeCell ref="P15:P18"/>
    <mergeCell ref="A36:A39"/>
    <mergeCell ref="L36:L39"/>
    <mergeCell ref="M36:M39"/>
    <mergeCell ref="N36:N39"/>
    <mergeCell ref="O36:O39"/>
    <mergeCell ref="Q36:Q39"/>
    <mergeCell ref="R36:R39"/>
    <mergeCell ref="C49:E49"/>
    <mergeCell ref="F49:H49"/>
    <mergeCell ref="I49:K49"/>
    <mergeCell ref="L49:N49"/>
    <mergeCell ref="O49:Q49"/>
    <mergeCell ref="P36:P39"/>
    <mergeCell ref="A51:A52"/>
    <mergeCell ref="L51:L52"/>
    <mergeCell ref="M51:M52"/>
    <mergeCell ref="N51:N52"/>
    <mergeCell ref="O51:O52"/>
    <mergeCell ref="Q51:Q52"/>
    <mergeCell ref="R51:R52"/>
    <mergeCell ref="C85:E85"/>
    <mergeCell ref="F85:H85"/>
    <mergeCell ref="I85:K85"/>
    <mergeCell ref="L85:N85"/>
    <mergeCell ref="O85:Q85"/>
    <mergeCell ref="P51:P52"/>
    <mergeCell ref="C94:C95"/>
    <mergeCell ref="D94:M95"/>
    <mergeCell ref="A87:A88"/>
    <mergeCell ref="I87:I88"/>
    <mergeCell ref="J87:J88"/>
    <mergeCell ref="L87:L88"/>
    <mergeCell ref="M87:M88"/>
    <mergeCell ref="O87:O88"/>
    <mergeCell ref="P87:P88"/>
    <mergeCell ref="Q87:Q88"/>
    <mergeCell ref="R87:R88"/>
    <mergeCell ref="C92:F93"/>
    <mergeCell ref="N87:N88"/>
    <mergeCell ref="C96:C97"/>
    <mergeCell ref="D96:M97"/>
    <mergeCell ref="C98:C99"/>
    <mergeCell ref="D98:M99"/>
    <mergeCell ref="C100:C101"/>
    <mergeCell ref="D100:M101"/>
    <mergeCell ref="P100:P101"/>
    <mergeCell ref="R100:R101"/>
    <mergeCell ref="C102:C103"/>
    <mergeCell ref="D102:M103"/>
    <mergeCell ref="P102:P103"/>
    <mergeCell ref="R102:R103"/>
  </mergeCells>
  <pageMargins left="0" right="0" top="0" bottom="0" header="0" footer="0"/>
  <pageSetup paperSize="9" scale="40" fitToHeight="0" orientation="landscape" r:id="rId1"/>
  <rowBreaks count="2" manualBreakCount="2">
    <brk id="12" max="17" man="1"/>
    <brk id="43" max="17" man="1"/>
  </row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Value!$A$4:$A$6</xm:f>
          </x14:formula1>
          <xm:sqref>E4:E7 H4:H7 K4:K7 N4:N7 Q4:Q7 E15:E18 H15:H18 K15:K18 N15:N18 Q15:Q18 E36:E39 H36:H39 K36:K39 N36:N39 Q36:Q39 E51:E52 H51:H52 K51:K52 N51:N52 Q51:Q52 E87:E88 H87:H88 K87:K88 N87:N88 Q87:Q88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pageSetUpPr fitToPage="1"/>
  </sheetPr>
  <dimension ref="A2:R104"/>
  <sheetViews>
    <sheetView view="pageBreakPreview" zoomScale="70" zoomScaleNormal="85" zoomScaleSheetLayoutView="70" workbookViewId="0">
      <pane xSplit="2" ySplit="3" topLeftCell="C4" activePane="bottomRight" state="frozen"/>
      <selection pane="topRight" activeCell="C1" sqref="C1"/>
      <selection pane="bottomLeft" activeCell="A3" sqref="A3"/>
      <selection pane="bottomRight" activeCell="G4" sqref="G4"/>
    </sheetView>
  </sheetViews>
  <sheetFormatPr defaultColWidth="8.75" defaultRowHeight="18.600000000000001"/>
  <cols>
    <col min="1" max="1" width="12.625" style="2" bestFit="1" customWidth="1"/>
    <col min="2" max="2" width="5.5" style="2" customWidth="1"/>
    <col min="3" max="3" width="14.875" style="3" customWidth="1"/>
    <col min="4" max="4" width="38.125" style="3" customWidth="1"/>
    <col min="5" max="5" width="6.5" style="2" customWidth="1"/>
    <col min="6" max="6" width="14.875" style="3" customWidth="1"/>
    <col min="7" max="7" width="38.125" style="3" customWidth="1"/>
    <col min="8" max="8" width="6.5" style="2" customWidth="1"/>
    <col min="9" max="9" width="14.875" style="3" customWidth="1"/>
    <col min="10" max="10" width="38.125" style="3" customWidth="1"/>
    <col min="11" max="11" width="6.5" style="2" customWidth="1"/>
    <col min="12" max="12" width="14.875" style="3" customWidth="1"/>
    <col min="13" max="13" width="38.125" style="3" customWidth="1"/>
    <col min="14" max="14" width="6.5" style="2" customWidth="1"/>
    <col min="15" max="15" width="14.875" style="3" customWidth="1"/>
    <col min="16" max="16" width="38.125" style="3" customWidth="1"/>
    <col min="17" max="17" width="6.5" style="2" customWidth="1"/>
    <col min="18" max="18" width="12.875" style="2" customWidth="1"/>
    <col min="19" max="16384" width="8.75" style="4"/>
  </cols>
  <sheetData>
    <row r="2" spans="1:18" ht="62.35">
      <c r="A2" s="8" t="s">
        <v>0</v>
      </c>
      <c r="B2" s="8" t="s">
        <v>13</v>
      </c>
      <c r="C2" s="67" t="s">
        <v>1</v>
      </c>
      <c r="D2" s="67"/>
      <c r="E2" s="67"/>
      <c r="F2" s="67" t="s">
        <v>2</v>
      </c>
      <c r="G2" s="67"/>
      <c r="H2" s="67"/>
      <c r="I2" s="67" t="s">
        <v>3</v>
      </c>
      <c r="J2" s="67"/>
      <c r="K2" s="67"/>
      <c r="L2" s="67" t="s">
        <v>4</v>
      </c>
      <c r="M2" s="67"/>
      <c r="N2" s="67"/>
      <c r="O2" s="67" t="s">
        <v>5</v>
      </c>
      <c r="P2" s="67"/>
      <c r="Q2" s="67"/>
      <c r="R2" s="9" t="s">
        <v>132</v>
      </c>
    </row>
    <row r="3" spans="1:18" ht="19.3">
      <c r="A3" s="5"/>
      <c r="B3" s="5"/>
      <c r="C3" s="6" t="s">
        <v>14</v>
      </c>
      <c r="D3" s="6" t="s">
        <v>15</v>
      </c>
      <c r="E3" s="6" t="s">
        <v>11</v>
      </c>
      <c r="F3" s="6" t="s">
        <v>14</v>
      </c>
      <c r="G3" s="6" t="s">
        <v>15</v>
      </c>
      <c r="H3" s="6" t="s">
        <v>11</v>
      </c>
      <c r="I3" s="6" t="s">
        <v>14</v>
      </c>
      <c r="J3" s="6" t="s">
        <v>15</v>
      </c>
      <c r="K3" s="6" t="s">
        <v>11</v>
      </c>
      <c r="L3" s="6" t="s">
        <v>14</v>
      </c>
      <c r="M3" s="6" t="s">
        <v>15</v>
      </c>
      <c r="N3" s="6" t="s">
        <v>11</v>
      </c>
      <c r="O3" s="6" t="s">
        <v>14</v>
      </c>
      <c r="P3" s="6" t="s">
        <v>15</v>
      </c>
      <c r="Q3" s="6" t="s">
        <v>11</v>
      </c>
      <c r="R3" s="7"/>
    </row>
    <row r="4" spans="1:18" ht="409.6">
      <c r="A4" s="76" t="s">
        <v>6</v>
      </c>
      <c r="B4" s="10">
        <v>1</v>
      </c>
      <c r="C4" s="11" t="s">
        <v>16</v>
      </c>
      <c r="D4" s="11" t="s">
        <v>23</v>
      </c>
      <c r="E4" s="22"/>
      <c r="F4" s="11" t="s">
        <v>21</v>
      </c>
      <c r="G4" s="11" t="s">
        <v>27</v>
      </c>
      <c r="H4" s="22"/>
      <c r="I4" s="11" t="s">
        <v>34</v>
      </c>
      <c r="J4" s="11" t="s">
        <v>35</v>
      </c>
      <c r="K4" s="22"/>
      <c r="L4" s="55" t="s">
        <v>38</v>
      </c>
      <c r="M4" s="55" t="s">
        <v>39</v>
      </c>
      <c r="N4" s="57"/>
      <c r="O4" s="55" t="s">
        <v>41</v>
      </c>
      <c r="P4" s="55" t="s">
        <v>42</v>
      </c>
      <c r="Q4" s="57"/>
      <c r="R4" s="59">
        <f>VALUE(IF(E9&gt;0,"0.00",IF(H9&gt;0,"1.00",IF(K9&gt;0,"2.00",IF(N9&gt;0,"3.00",IF(Q9&gt;0,"4.00","5.00"))))))</f>
        <v>5</v>
      </c>
    </row>
    <row r="5" spans="1:18" ht="180.4">
      <c r="A5" s="76"/>
      <c r="B5" s="10">
        <v>2</v>
      </c>
      <c r="C5" s="11" t="s">
        <v>17</v>
      </c>
      <c r="D5" s="11" t="s">
        <v>40</v>
      </c>
      <c r="E5" s="22"/>
      <c r="F5" s="11" t="s">
        <v>29</v>
      </c>
      <c r="G5" s="11" t="s">
        <v>28</v>
      </c>
      <c r="H5" s="22"/>
      <c r="I5" s="11" t="s">
        <v>31</v>
      </c>
      <c r="J5" s="11" t="s">
        <v>107</v>
      </c>
      <c r="K5" s="22"/>
      <c r="L5" s="55"/>
      <c r="M5" s="55"/>
      <c r="N5" s="69"/>
      <c r="O5" s="56"/>
      <c r="P5" s="55"/>
      <c r="Q5" s="69"/>
      <c r="R5" s="70"/>
    </row>
    <row r="6" spans="1:18" ht="304.35000000000002">
      <c r="A6" s="76"/>
      <c r="B6" s="10">
        <v>3</v>
      </c>
      <c r="C6" s="11" t="s">
        <v>19</v>
      </c>
      <c r="D6" s="11" t="s">
        <v>24</v>
      </c>
      <c r="E6" s="22"/>
      <c r="F6" s="11" t="s">
        <v>22</v>
      </c>
      <c r="G6" s="11" t="s">
        <v>25</v>
      </c>
      <c r="H6" s="22"/>
      <c r="I6" s="11" t="s">
        <v>32</v>
      </c>
      <c r="J6" s="11" t="s">
        <v>30</v>
      </c>
      <c r="K6" s="22"/>
      <c r="L6" s="55"/>
      <c r="M6" s="55"/>
      <c r="N6" s="69"/>
      <c r="O6" s="56"/>
      <c r="P6" s="55"/>
      <c r="Q6" s="69"/>
      <c r="R6" s="70"/>
    </row>
    <row r="7" spans="1:18" ht="269.45">
      <c r="A7" s="76"/>
      <c r="B7" s="10">
        <v>4</v>
      </c>
      <c r="C7" s="11" t="s">
        <v>18</v>
      </c>
      <c r="D7" s="11" t="s">
        <v>20</v>
      </c>
      <c r="E7" s="22"/>
      <c r="F7" s="11" t="s">
        <v>26</v>
      </c>
      <c r="G7" s="11" t="s">
        <v>36</v>
      </c>
      <c r="H7" s="22"/>
      <c r="I7" s="11" t="s">
        <v>33</v>
      </c>
      <c r="J7" s="11" t="s">
        <v>37</v>
      </c>
      <c r="K7" s="22"/>
      <c r="L7" s="55"/>
      <c r="M7" s="55"/>
      <c r="N7" s="58"/>
      <c r="O7" s="56"/>
      <c r="P7" s="55"/>
      <c r="Q7" s="58"/>
      <c r="R7" s="60"/>
    </row>
    <row r="8" spans="1:18" ht="23.05">
      <c r="A8" s="12"/>
      <c r="B8" s="13"/>
      <c r="C8" s="1"/>
      <c r="D8" s="19" t="s">
        <v>125</v>
      </c>
      <c r="E8" s="10">
        <f>COUNTIF($E$4:$E$7,1)+COUNTIF($E$4:$E$7,"-")</f>
        <v>0</v>
      </c>
      <c r="F8" s="1"/>
      <c r="G8" s="19" t="s">
        <v>125</v>
      </c>
      <c r="H8" s="10">
        <f>COUNTIF(H4:H7,1)+COUNTIF(H4:H7,"-")</f>
        <v>0</v>
      </c>
      <c r="I8" s="1"/>
      <c r="J8" s="19" t="s">
        <v>125</v>
      </c>
      <c r="K8" s="10">
        <f>COUNTIF(K4:K7,1)+COUNTIF(K4:K7,"-")</f>
        <v>0</v>
      </c>
      <c r="L8" s="1"/>
      <c r="M8" s="19" t="s">
        <v>125</v>
      </c>
      <c r="N8" s="10">
        <f>COUNTIF(N4:N7,1)+COUNTIF(N4:N7,"-")</f>
        <v>0</v>
      </c>
      <c r="O8" s="14"/>
      <c r="P8" s="19" t="s">
        <v>125</v>
      </c>
      <c r="Q8" s="10">
        <f>COUNTIF(Q4:Q7,1)+COUNTIF(Q4:Q7,"-")</f>
        <v>0</v>
      </c>
      <c r="R8" s="13"/>
    </row>
    <row r="9" spans="1:18" ht="23.05">
      <c r="A9" s="12"/>
      <c r="B9" s="13"/>
      <c r="C9" s="1"/>
      <c r="D9" s="20" t="s">
        <v>126</v>
      </c>
      <c r="E9" s="21">
        <f>COUNTIF($E$4:$E$7,0)</f>
        <v>0</v>
      </c>
      <c r="F9" s="1"/>
      <c r="G9" s="20" t="s">
        <v>126</v>
      </c>
      <c r="H9" s="21">
        <f>COUNTIF(H4:H7,0)</f>
        <v>0</v>
      </c>
      <c r="I9" s="1"/>
      <c r="J9" s="20" t="s">
        <v>126</v>
      </c>
      <c r="K9" s="21">
        <f>COUNTIF(K4:K7,0)</f>
        <v>0</v>
      </c>
      <c r="L9" s="1"/>
      <c r="M9" s="20" t="s">
        <v>126</v>
      </c>
      <c r="N9" s="21">
        <f>COUNTIF(N4:N7,0)</f>
        <v>0</v>
      </c>
      <c r="O9" s="14"/>
      <c r="P9" s="20" t="s">
        <v>126</v>
      </c>
      <c r="Q9" s="21">
        <f>COUNTIF(Q4:Q7,0)</f>
        <v>0</v>
      </c>
      <c r="R9" s="13"/>
    </row>
    <row r="10" spans="1:18" ht="23.05">
      <c r="A10" s="12"/>
      <c r="B10" s="13"/>
      <c r="C10" s="1"/>
      <c r="D10" s="1"/>
      <c r="E10" s="13"/>
      <c r="F10" s="1"/>
      <c r="G10" s="1"/>
      <c r="H10" s="13"/>
      <c r="I10" s="1"/>
      <c r="J10" s="1"/>
      <c r="K10" s="13"/>
      <c r="L10" s="1"/>
      <c r="M10" s="1"/>
      <c r="N10" s="13"/>
      <c r="O10" s="14"/>
      <c r="P10" s="1"/>
      <c r="Q10" s="13"/>
      <c r="R10" s="13"/>
    </row>
    <row r="11" spans="1:18" ht="23.05">
      <c r="A11" s="12"/>
      <c r="B11" s="13"/>
      <c r="C11" s="1"/>
      <c r="D11" s="1"/>
      <c r="E11" s="13"/>
      <c r="F11" s="1"/>
      <c r="G11" s="1"/>
      <c r="H11" s="13"/>
      <c r="I11" s="1"/>
      <c r="J11" s="1"/>
      <c r="K11" s="13"/>
      <c r="L11" s="1"/>
      <c r="M11" s="1"/>
      <c r="N11" s="13"/>
      <c r="O11" s="14"/>
      <c r="P11" s="1"/>
      <c r="Q11" s="13"/>
      <c r="R11" s="13"/>
    </row>
    <row r="12" spans="1:18" ht="23.05">
      <c r="A12" s="12"/>
      <c r="B12" s="13"/>
      <c r="C12" s="1"/>
      <c r="D12" s="1"/>
      <c r="E12" s="13"/>
      <c r="F12" s="1"/>
      <c r="G12" s="1"/>
      <c r="H12" s="13"/>
      <c r="I12" s="1"/>
      <c r="J12" s="1"/>
      <c r="K12" s="13"/>
      <c r="L12" s="1"/>
      <c r="M12" s="1"/>
      <c r="N12" s="13"/>
      <c r="O12" s="14"/>
      <c r="P12" s="1"/>
      <c r="Q12" s="13"/>
      <c r="R12" s="13"/>
    </row>
    <row r="13" spans="1:18" ht="62.35">
      <c r="A13" s="8" t="s">
        <v>0</v>
      </c>
      <c r="B13" s="8" t="s">
        <v>13</v>
      </c>
      <c r="C13" s="67" t="s">
        <v>1</v>
      </c>
      <c r="D13" s="67"/>
      <c r="E13" s="67"/>
      <c r="F13" s="67" t="s">
        <v>2</v>
      </c>
      <c r="G13" s="67"/>
      <c r="H13" s="67"/>
      <c r="I13" s="67" t="s">
        <v>3</v>
      </c>
      <c r="J13" s="67"/>
      <c r="K13" s="67"/>
      <c r="L13" s="67" t="s">
        <v>4</v>
      </c>
      <c r="M13" s="67"/>
      <c r="N13" s="67"/>
      <c r="O13" s="67" t="s">
        <v>5</v>
      </c>
      <c r="P13" s="67"/>
      <c r="Q13" s="67"/>
      <c r="R13" s="9" t="s">
        <v>132</v>
      </c>
    </row>
    <row r="14" spans="1:18" ht="19.3">
      <c r="A14" s="5"/>
      <c r="B14" s="5"/>
      <c r="C14" s="6" t="s">
        <v>14</v>
      </c>
      <c r="D14" s="6" t="s">
        <v>15</v>
      </c>
      <c r="E14" s="6" t="s">
        <v>11</v>
      </c>
      <c r="F14" s="6" t="s">
        <v>14</v>
      </c>
      <c r="G14" s="6" t="s">
        <v>15</v>
      </c>
      <c r="H14" s="6" t="s">
        <v>11</v>
      </c>
      <c r="I14" s="6" t="s">
        <v>14</v>
      </c>
      <c r="J14" s="6" t="s">
        <v>15</v>
      </c>
      <c r="K14" s="6" t="s">
        <v>11</v>
      </c>
      <c r="L14" s="6" t="s">
        <v>14</v>
      </c>
      <c r="M14" s="6" t="s">
        <v>15</v>
      </c>
      <c r="N14" s="6" t="s">
        <v>11</v>
      </c>
      <c r="O14" s="6" t="s">
        <v>14</v>
      </c>
      <c r="P14" s="6" t="s">
        <v>15</v>
      </c>
      <c r="Q14" s="6" t="s">
        <v>11</v>
      </c>
      <c r="R14" s="7"/>
    </row>
    <row r="15" spans="1:18" ht="391.95">
      <c r="A15" s="75" t="s">
        <v>7</v>
      </c>
      <c r="B15" s="10">
        <v>1</v>
      </c>
      <c r="C15" s="11" t="s">
        <v>46</v>
      </c>
      <c r="D15" s="11" t="s">
        <v>47</v>
      </c>
      <c r="E15" s="22"/>
      <c r="F15" s="11" t="s">
        <v>48</v>
      </c>
      <c r="G15" s="11" t="s">
        <v>51</v>
      </c>
      <c r="H15" s="22"/>
      <c r="I15" s="11" t="s">
        <v>49</v>
      </c>
      <c r="J15" s="11" t="s">
        <v>71</v>
      </c>
      <c r="K15" s="22"/>
      <c r="L15" s="65" t="s">
        <v>43</v>
      </c>
      <c r="M15" s="65" t="s">
        <v>39</v>
      </c>
      <c r="N15" s="57"/>
      <c r="O15" s="65" t="s">
        <v>44</v>
      </c>
      <c r="P15" s="65" t="s">
        <v>45</v>
      </c>
      <c r="Q15" s="57"/>
      <c r="R15" s="59">
        <f>VALUE(IF(E20&gt;0,"0.00",IF(H20&gt;0,"1.00",IF(K20&gt;0,"2.00",IF(N20&gt;0,"3.00",IF(Q20&gt;0,"4.00","5.00"))))))</f>
        <v>5</v>
      </c>
    </row>
    <row r="16" spans="1:18" ht="196.7">
      <c r="A16" s="75"/>
      <c r="B16" s="10">
        <v>2</v>
      </c>
      <c r="C16" s="11" t="s">
        <v>76</v>
      </c>
      <c r="D16" s="11" t="s">
        <v>53</v>
      </c>
      <c r="E16" s="22"/>
      <c r="F16" s="11" t="s">
        <v>50</v>
      </c>
      <c r="G16" s="11" t="s">
        <v>52</v>
      </c>
      <c r="H16" s="22"/>
      <c r="I16" s="11" t="s">
        <v>54</v>
      </c>
      <c r="J16" s="11" t="s">
        <v>82</v>
      </c>
      <c r="K16" s="22"/>
      <c r="L16" s="72"/>
      <c r="M16" s="72"/>
      <c r="N16" s="69"/>
      <c r="O16" s="73"/>
      <c r="P16" s="72"/>
      <c r="Q16" s="69"/>
      <c r="R16" s="70"/>
    </row>
    <row r="17" spans="1:18" ht="196">
      <c r="A17" s="75"/>
      <c r="B17" s="10">
        <v>3</v>
      </c>
      <c r="C17" s="11" t="s">
        <v>55</v>
      </c>
      <c r="D17" s="11" t="s">
        <v>57</v>
      </c>
      <c r="E17" s="22"/>
      <c r="F17" s="11" t="s">
        <v>56</v>
      </c>
      <c r="G17" s="11" t="s">
        <v>58</v>
      </c>
      <c r="H17" s="22"/>
      <c r="I17" s="11" t="s">
        <v>59</v>
      </c>
      <c r="J17" s="11" t="s">
        <v>60</v>
      </c>
      <c r="K17" s="22"/>
      <c r="L17" s="72"/>
      <c r="M17" s="72"/>
      <c r="N17" s="69"/>
      <c r="O17" s="73"/>
      <c r="P17" s="72"/>
      <c r="Q17" s="69"/>
      <c r="R17" s="70"/>
    </row>
    <row r="18" spans="1:18" ht="124.7">
      <c r="A18" s="75"/>
      <c r="B18" s="10">
        <v>4</v>
      </c>
      <c r="C18" s="11" t="s">
        <v>61</v>
      </c>
      <c r="D18" s="11" t="s">
        <v>62</v>
      </c>
      <c r="E18" s="22"/>
      <c r="F18" s="11" t="s">
        <v>63</v>
      </c>
      <c r="G18" s="11" t="s">
        <v>64</v>
      </c>
      <c r="H18" s="22"/>
      <c r="I18" s="11" t="s">
        <v>65</v>
      </c>
      <c r="J18" s="11" t="s">
        <v>66</v>
      </c>
      <c r="K18" s="22"/>
      <c r="L18" s="66"/>
      <c r="M18" s="66"/>
      <c r="N18" s="58"/>
      <c r="O18" s="74"/>
      <c r="P18" s="66"/>
      <c r="Q18" s="58"/>
      <c r="R18" s="60"/>
    </row>
    <row r="19" spans="1:18">
      <c r="D19" s="19" t="s">
        <v>125</v>
      </c>
      <c r="E19" s="10">
        <f>COUNTIF(E15:E18,1)+COUNTIF(E15:E18,"-")</f>
        <v>0</v>
      </c>
      <c r="G19" s="19" t="s">
        <v>125</v>
      </c>
      <c r="H19" s="10">
        <f>COUNTIF(H15:H18,1)+COUNTIF(H15:H18,"-")</f>
        <v>0</v>
      </c>
      <c r="J19" s="19" t="s">
        <v>125</v>
      </c>
      <c r="K19" s="10">
        <f>COUNTIF(K15:K18,1)+COUNTIF(K15:K18,"-")</f>
        <v>0</v>
      </c>
      <c r="M19" s="19" t="s">
        <v>125</v>
      </c>
      <c r="N19" s="10">
        <f>COUNTIF(N15:N18,1)+COUNTIF(N15:N18,"-")</f>
        <v>0</v>
      </c>
      <c r="P19" s="19" t="s">
        <v>125</v>
      </c>
      <c r="Q19" s="10">
        <f>COUNTIF(Q15:Q18,1)+COUNTIF(Q15:Q18,"-")</f>
        <v>0</v>
      </c>
    </row>
    <row r="20" spans="1:18">
      <c r="D20" s="20" t="s">
        <v>126</v>
      </c>
      <c r="E20" s="21">
        <f>COUNTIF(E15:E18,0)</f>
        <v>0</v>
      </c>
      <c r="G20" s="20" t="s">
        <v>126</v>
      </c>
      <c r="H20" s="21">
        <f>COUNTIF(H15:H18,0)</f>
        <v>0</v>
      </c>
      <c r="J20" s="20" t="s">
        <v>126</v>
      </c>
      <c r="K20" s="21">
        <f>COUNTIF(K15:K18,0)</f>
        <v>0</v>
      </c>
      <c r="M20" s="20" t="s">
        <v>126</v>
      </c>
      <c r="N20" s="21">
        <f>COUNTIF(N15:N18,0)</f>
        <v>0</v>
      </c>
      <c r="P20" s="20" t="s">
        <v>126</v>
      </c>
      <c r="Q20" s="21">
        <f>COUNTIF(Q15:Q18,0)</f>
        <v>0</v>
      </c>
    </row>
    <row r="29" spans="1:18" s="2" customFormat="1">
      <c r="C29" s="3"/>
      <c r="D29" s="3"/>
      <c r="F29" s="3"/>
      <c r="G29" s="3"/>
      <c r="I29" s="3"/>
      <c r="J29" s="1"/>
      <c r="L29" s="3"/>
      <c r="M29" s="3"/>
      <c r="O29" s="3"/>
      <c r="P29" s="3"/>
    </row>
    <row r="34" spans="1:18" ht="62.35">
      <c r="A34" s="8" t="s">
        <v>0</v>
      </c>
      <c r="B34" s="8" t="s">
        <v>13</v>
      </c>
      <c r="C34" s="67" t="s">
        <v>1</v>
      </c>
      <c r="D34" s="67"/>
      <c r="E34" s="67"/>
      <c r="F34" s="67" t="s">
        <v>2</v>
      </c>
      <c r="G34" s="67"/>
      <c r="H34" s="67"/>
      <c r="I34" s="67" t="s">
        <v>3</v>
      </c>
      <c r="J34" s="67"/>
      <c r="K34" s="67"/>
      <c r="L34" s="67" t="s">
        <v>4</v>
      </c>
      <c r="M34" s="67"/>
      <c r="N34" s="67"/>
      <c r="O34" s="67" t="s">
        <v>5</v>
      </c>
      <c r="P34" s="67"/>
      <c r="Q34" s="67"/>
      <c r="R34" s="9" t="s">
        <v>132</v>
      </c>
    </row>
    <row r="35" spans="1:18" ht="19.3">
      <c r="A35" s="5"/>
      <c r="B35" s="5"/>
      <c r="C35" s="6" t="s">
        <v>14</v>
      </c>
      <c r="D35" s="6" t="s">
        <v>15</v>
      </c>
      <c r="E35" s="6" t="s">
        <v>11</v>
      </c>
      <c r="F35" s="6" t="s">
        <v>14</v>
      </c>
      <c r="G35" s="6" t="s">
        <v>15</v>
      </c>
      <c r="H35" s="6" t="s">
        <v>11</v>
      </c>
      <c r="I35" s="6" t="s">
        <v>14</v>
      </c>
      <c r="J35" s="6" t="s">
        <v>15</v>
      </c>
      <c r="K35" s="6" t="s">
        <v>11</v>
      </c>
      <c r="L35" s="6" t="s">
        <v>14</v>
      </c>
      <c r="M35" s="6" t="s">
        <v>15</v>
      </c>
      <c r="N35" s="6" t="s">
        <v>11</v>
      </c>
      <c r="O35" s="6" t="s">
        <v>14</v>
      </c>
      <c r="P35" s="6" t="s">
        <v>15</v>
      </c>
      <c r="Q35" s="6" t="s">
        <v>11</v>
      </c>
      <c r="R35" s="7"/>
    </row>
    <row r="36" spans="1:18" ht="409.6">
      <c r="A36" s="71" t="s">
        <v>8</v>
      </c>
      <c r="B36" s="10">
        <v>1</v>
      </c>
      <c r="C36" s="11" t="s">
        <v>67</v>
      </c>
      <c r="D36" s="11" t="s">
        <v>90</v>
      </c>
      <c r="E36" s="22"/>
      <c r="F36" s="11" t="s">
        <v>68</v>
      </c>
      <c r="G36" s="11" t="s">
        <v>69</v>
      </c>
      <c r="H36" s="22"/>
      <c r="I36" s="11" t="s">
        <v>70</v>
      </c>
      <c r="J36" s="11" t="s">
        <v>103</v>
      </c>
      <c r="K36" s="22"/>
      <c r="L36" s="65" t="s">
        <v>72</v>
      </c>
      <c r="M36" s="65" t="s">
        <v>39</v>
      </c>
      <c r="N36" s="57"/>
      <c r="O36" s="65" t="s">
        <v>73</v>
      </c>
      <c r="P36" s="65" t="s">
        <v>74</v>
      </c>
      <c r="Q36" s="57"/>
      <c r="R36" s="59">
        <f>VALUE(IF(E41&gt;0,"0.00",IF(H41&gt;0,"1.00",IF(K41&gt;0,"2.00",IF(N41&gt;0,"3.00",IF(Q41&gt;0,"4.00","5.00"))))))</f>
        <v>5</v>
      </c>
    </row>
    <row r="37" spans="1:18" ht="196.7">
      <c r="A37" s="71"/>
      <c r="B37" s="10">
        <v>2</v>
      </c>
      <c r="C37" s="11" t="s">
        <v>75</v>
      </c>
      <c r="D37" s="11" t="s">
        <v>77</v>
      </c>
      <c r="E37" s="22"/>
      <c r="F37" s="11" t="s">
        <v>78</v>
      </c>
      <c r="G37" s="11" t="s">
        <v>79</v>
      </c>
      <c r="H37" s="22"/>
      <c r="I37" s="11" t="s">
        <v>80</v>
      </c>
      <c r="J37" s="11" t="s">
        <v>81</v>
      </c>
      <c r="K37" s="22"/>
      <c r="L37" s="72"/>
      <c r="M37" s="72"/>
      <c r="N37" s="69"/>
      <c r="O37" s="73"/>
      <c r="P37" s="72"/>
      <c r="Q37" s="69"/>
      <c r="R37" s="70"/>
    </row>
    <row r="38" spans="1:18" ht="249.4">
      <c r="A38" s="71"/>
      <c r="B38" s="10">
        <v>3</v>
      </c>
      <c r="C38" s="11" t="s">
        <v>83</v>
      </c>
      <c r="D38" s="11" t="s">
        <v>84</v>
      </c>
      <c r="E38" s="22"/>
      <c r="F38" s="11" t="s">
        <v>85</v>
      </c>
      <c r="G38" s="11" t="s">
        <v>87</v>
      </c>
      <c r="H38" s="22"/>
      <c r="I38" s="11" t="s">
        <v>86</v>
      </c>
      <c r="J38" s="11" t="s">
        <v>88</v>
      </c>
      <c r="K38" s="22"/>
      <c r="L38" s="72"/>
      <c r="M38" s="72"/>
      <c r="N38" s="69"/>
      <c r="O38" s="73"/>
      <c r="P38" s="72"/>
      <c r="Q38" s="69"/>
      <c r="R38" s="70"/>
    </row>
    <row r="39" spans="1:18" ht="213.8">
      <c r="A39" s="71"/>
      <c r="B39" s="10">
        <v>4</v>
      </c>
      <c r="C39" s="11" t="s">
        <v>89</v>
      </c>
      <c r="D39" s="11" t="s">
        <v>91</v>
      </c>
      <c r="E39" s="22"/>
      <c r="F39" s="11" t="s">
        <v>92</v>
      </c>
      <c r="G39" s="11" t="s">
        <v>93</v>
      </c>
      <c r="H39" s="22"/>
      <c r="I39" s="11" t="s">
        <v>94</v>
      </c>
      <c r="J39" s="11" t="s">
        <v>95</v>
      </c>
      <c r="K39" s="22"/>
      <c r="L39" s="66"/>
      <c r="M39" s="66"/>
      <c r="N39" s="58"/>
      <c r="O39" s="74"/>
      <c r="P39" s="66"/>
      <c r="Q39" s="58"/>
      <c r="R39" s="60"/>
    </row>
    <row r="40" spans="1:18">
      <c r="D40" s="19" t="s">
        <v>125</v>
      </c>
      <c r="E40" s="10">
        <f>COUNTIF(E36:E39,1)+COUNTIF(E36:E39,"-")</f>
        <v>0</v>
      </c>
      <c r="G40" s="19" t="s">
        <v>125</v>
      </c>
      <c r="H40" s="10">
        <f>COUNTIF(H36:H39,1)+COUNTIF(H36:H39,"-")</f>
        <v>0</v>
      </c>
      <c r="J40" s="19" t="s">
        <v>125</v>
      </c>
      <c r="K40" s="10">
        <f>COUNTIF(K36:K39,1)+COUNTIF(K36:K39,"-")</f>
        <v>0</v>
      </c>
      <c r="M40" s="19" t="s">
        <v>125</v>
      </c>
      <c r="N40" s="10">
        <f>COUNTIF(N36:N39,1)+COUNTIF(N36:N39,"-")</f>
        <v>0</v>
      </c>
      <c r="P40" s="19" t="s">
        <v>125</v>
      </c>
      <c r="Q40" s="10">
        <f>COUNTIF(Q36:Q39,1)+COUNTIF(Q36:Q39,"-")</f>
        <v>0</v>
      </c>
    </row>
    <row r="41" spans="1:18">
      <c r="D41" s="20" t="s">
        <v>126</v>
      </c>
      <c r="E41" s="21">
        <f>COUNTIF(E36:E39,0)</f>
        <v>0</v>
      </c>
      <c r="G41" s="20" t="s">
        <v>126</v>
      </c>
      <c r="H41" s="21">
        <f>COUNTIF(H36:H39,0)</f>
        <v>0</v>
      </c>
      <c r="J41" s="20" t="s">
        <v>126</v>
      </c>
      <c r="K41" s="21">
        <f>COUNTIF(K36:K39,0)</f>
        <v>0</v>
      </c>
      <c r="M41" s="20" t="s">
        <v>126</v>
      </c>
      <c r="N41" s="21">
        <f>COUNTIF(N36:N39,0)</f>
        <v>0</v>
      </c>
      <c r="P41" s="20" t="s">
        <v>126</v>
      </c>
      <c r="Q41" s="21">
        <f>COUNTIF(Q36:Q39,0)</f>
        <v>0</v>
      </c>
    </row>
    <row r="49" spans="1:18" ht="62.35">
      <c r="A49" s="8" t="s">
        <v>0</v>
      </c>
      <c r="B49" s="8" t="s">
        <v>13</v>
      </c>
      <c r="C49" s="67" t="s">
        <v>1</v>
      </c>
      <c r="D49" s="67"/>
      <c r="E49" s="67"/>
      <c r="F49" s="67" t="s">
        <v>2</v>
      </c>
      <c r="G49" s="67"/>
      <c r="H49" s="67"/>
      <c r="I49" s="67" t="s">
        <v>3</v>
      </c>
      <c r="J49" s="67"/>
      <c r="K49" s="67"/>
      <c r="L49" s="67" t="s">
        <v>4</v>
      </c>
      <c r="M49" s="67"/>
      <c r="N49" s="67"/>
      <c r="O49" s="67" t="s">
        <v>5</v>
      </c>
      <c r="P49" s="67"/>
      <c r="Q49" s="67"/>
      <c r="R49" s="9" t="s">
        <v>132</v>
      </c>
    </row>
    <row r="50" spans="1:18" ht="19.3">
      <c r="A50" s="5"/>
      <c r="B50" s="5"/>
      <c r="C50" s="6" t="s">
        <v>14</v>
      </c>
      <c r="D50" s="6" t="s">
        <v>15</v>
      </c>
      <c r="E50" s="6" t="s">
        <v>11</v>
      </c>
      <c r="F50" s="6" t="s">
        <v>14</v>
      </c>
      <c r="G50" s="6" t="s">
        <v>15</v>
      </c>
      <c r="H50" s="6" t="s">
        <v>11</v>
      </c>
      <c r="I50" s="6" t="s">
        <v>14</v>
      </c>
      <c r="J50" s="6" t="s">
        <v>15</v>
      </c>
      <c r="K50" s="6" t="s">
        <v>11</v>
      </c>
      <c r="L50" s="6" t="s">
        <v>14</v>
      </c>
      <c r="M50" s="6" t="s">
        <v>15</v>
      </c>
      <c r="N50" s="6" t="s">
        <v>11</v>
      </c>
      <c r="O50" s="6" t="s">
        <v>14</v>
      </c>
      <c r="P50" s="6" t="s">
        <v>15</v>
      </c>
      <c r="Q50" s="6" t="s">
        <v>11</v>
      </c>
      <c r="R50" s="7"/>
    </row>
    <row r="51" spans="1:18" ht="374.1">
      <c r="A51" s="68" t="s">
        <v>9</v>
      </c>
      <c r="B51" s="10">
        <v>1</v>
      </c>
      <c r="C51" s="11" t="s">
        <v>96</v>
      </c>
      <c r="D51" s="11" t="s">
        <v>97</v>
      </c>
      <c r="E51" s="22"/>
      <c r="F51" s="11" t="s">
        <v>98</v>
      </c>
      <c r="G51" s="11" t="s">
        <v>102</v>
      </c>
      <c r="H51" s="22"/>
      <c r="I51" s="11" t="s">
        <v>101</v>
      </c>
      <c r="J51" s="11" t="s">
        <v>104</v>
      </c>
      <c r="K51" s="22"/>
      <c r="L51" s="55" t="s">
        <v>108</v>
      </c>
      <c r="M51" s="55" t="s">
        <v>39</v>
      </c>
      <c r="N51" s="57"/>
      <c r="O51" s="55" t="s">
        <v>41</v>
      </c>
      <c r="P51" s="55" t="s">
        <v>42</v>
      </c>
      <c r="Q51" s="57"/>
      <c r="R51" s="59">
        <f>VALUE(IF(E54&gt;0,"0.00",IF(H54&gt;0,"1.00",IF(K54&gt;0,"2.00",IF(N54&gt;0,"3.00",IF(Q54&gt;0,"4.00","5.00"))))))</f>
        <v>5</v>
      </c>
    </row>
    <row r="52" spans="1:18" ht="268">
      <c r="A52" s="68"/>
      <c r="B52" s="10">
        <v>2</v>
      </c>
      <c r="C52" s="11" t="s">
        <v>99</v>
      </c>
      <c r="D52" s="11" t="s">
        <v>100</v>
      </c>
      <c r="E52" s="22"/>
      <c r="F52" s="11" t="s">
        <v>105</v>
      </c>
      <c r="G52" s="11" t="s">
        <v>110</v>
      </c>
      <c r="H52" s="22"/>
      <c r="I52" s="11" t="s">
        <v>106</v>
      </c>
      <c r="J52" s="11" t="s">
        <v>109</v>
      </c>
      <c r="K52" s="22"/>
      <c r="L52" s="55"/>
      <c r="M52" s="55"/>
      <c r="N52" s="58"/>
      <c r="O52" s="56"/>
      <c r="P52" s="55"/>
      <c r="Q52" s="58"/>
      <c r="R52" s="60"/>
    </row>
    <row r="53" spans="1:18">
      <c r="D53" s="19" t="s">
        <v>125</v>
      </c>
      <c r="E53" s="10">
        <f>COUNTIF(E51:E52,1)+COUNTIF(E51:E52,"-")</f>
        <v>0</v>
      </c>
      <c r="G53" s="19" t="s">
        <v>125</v>
      </c>
      <c r="H53" s="10">
        <f>COUNTIF(H51:H52,1)+COUNTIF(H51:H52,"-")</f>
        <v>0</v>
      </c>
      <c r="J53" s="19" t="s">
        <v>125</v>
      </c>
      <c r="K53" s="10">
        <f>COUNTIF(K51:K52,1)+COUNTIF(K51:K52,"-")</f>
        <v>0</v>
      </c>
      <c r="M53" s="19" t="s">
        <v>125</v>
      </c>
      <c r="N53" s="10">
        <f>COUNTIF(N51:N52,1)+COUNTIF(N51:N52,"-")</f>
        <v>0</v>
      </c>
      <c r="P53" s="19" t="s">
        <v>125</v>
      </c>
      <c r="Q53" s="10">
        <f>COUNTIF(Q51:Q52,1)+COUNTIF(Q51:Q52,"-")</f>
        <v>0</v>
      </c>
    </row>
    <row r="54" spans="1:18">
      <c r="D54" s="20" t="s">
        <v>126</v>
      </c>
      <c r="E54" s="21">
        <f>COUNTIF(E51:E52,0)</f>
        <v>0</v>
      </c>
      <c r="G54" s="20" t="s">
        <v>126</v>
      </c>
      <c r="H54" s="21">
        <f>COUNTIF(H51:H52,0)</f>
        <v>0</v>
      </c>
      <c r="J54" s="20" t="s">
        <v>126</v>
      </c>
      <c r="K54" s="21">
        <f>COUNTIF(K51:K52,0)</f>
        <v>0</v>
      </c>
      <c r="M54" s="20" t="s">
        <v>126</v>
      </c>
      <c r="N54" s="21">
        <f>COUNTIF(N51:N52,0)</f>
        <v>0</v>
      </c>
      <c r="P54" s="20" t="s">
        <v>126</v>
      </c>
      <c r="Q54" s="21">
        <f>COUNTIF(Q51:Q52,0)</f>
        <v>0</v>
      </c>
    </row>
    <row r="85" spans="1:18" ht="62.35">
      <c r="A85" s="8" t="s">
        <v>0</v>
      </c>
      <c r="B85" s="8" t="s">
        <v>13</v>
      </c>
      <c r="C85" s="67" t="s">
        <v>1</v>
      </c>
      <c r="D85" s="67"/>
      <c r="E85" s="67"/>
      <c r="F85" s="67" t="s">
        <v>2</v>
      </c>
      <c r="G85" s="67"/>
      <c r="H85" s="67"/>
      <c r="I85" s="67" t="s">
        <v>3</v>
      </c>
      <c r="J85" s="67"/>
      <c r="K85" s="67"/>
      <c r="L85" s="67" t="s">
        <v>4</v>
      </c>
      <c r="M85" s="67"/>
      <c r="N85" s="67"/>
      <c r="O85" s="67" t="s">
        <v>5</v>
      </c>
      <c r="P85" s="67"/>
      <c r="Q85" s="67"/>
      <c r="R85" s="9" t="s">
        <v>132</v>
      </c>
    </row>
    <row r="86" spans="1:18" ht="19.3">
      <c r="A86" s="5"/>
      <c r="B86" s="5"/>
      <c r="C86" s="6" t="s">
        <v>14</v>
      </c>
      <c r="D86" s="6" t="s">
        <v>15</v>
      </c>
      <c r="E86" s="6" t="s">
        <v>11</v>
      </c>
      <c r="F86" s="6" t="s">
        <v>14</v>
      </c>
      <c r="G86" s="6" t="s">
        <v>15</v>
      </c>
      <c r="H86" s="6" t="s">
        <v>11</v>
      </c>
      <c r="I86" s="6" t="s">
        <v>14</v>
      </c>
      <c r="J86" s="6" t="s">
        <v>15</v>
      </c>
      <c r="K86" s="6" t="s">
        <v>11</v>
      </c>
      <c r="L86" s="6" t="s">
        <v>14</v>
      </c>
      <c r="M86" s="6" t="s">
        <v>15</v>
      </c>
      <c r="N86" s="6" t="s">
        <v>11</v>
      </c>
      <c r="O86" s="6" t="s">
        <v>14</v>
      </c>
      <c r="P86" s="6" t="s">
        <v>15</v>
      </c>
      <c r="Q86" s="6" t="s">
        <v>11</v>
      </c>
      <c r="R86" s="7"/>
    </row>
    <row r="87" spans="1:18" ht="302.85000000000002">
      <c r="A87" s="62" t="s">
        <v>10</v>
      </c>
      <c r="B87" s="10">
        <v>1</v>
      </c>
      <c r="C87" s="11" t="s">
        <v>111</v>
      </c>
      <c r="D87" s="11" t="s">
        <v>113</v>
      </c>
      <c r="E87" s="22"/>
      <c r="F87" s="11" t="s">
        <v>115</v>
      </c>
      <c r="G87" s="11" t="s">
        <v>116</v>
      </c>
      <c r="H87" s="22"/>
      <c r="I87" s="63" t="s">
        <v>114</v>
      </c>
      <c r="J87" s="65" t="s">
        <v>117</v>
      </c>
      <c r="K87" s="22"/>
      <c r="L87" s="55" t="s">
        <v>118</v>
      </c>
      <c r="M87" s="55" t="s">
        <v>119</v>
      </c>
      <c r="N87" s="57"/>
      <c r="O87" s="55" t="s">
        <v>120</v>
      </c>
      <c r="P87" s="55" t="s">
        <v>121</v>
      </c>
      <c r="Q87" s="57"/>
      <c r="R87" s="59">
        <f>VALUE(IF(E90&gt;0,"0.00",IF(H90&gt;0,"1.00",IF(K90&gt;0,"2.00",IF(N90&gt;0,"3.00",IF(Q90&gt;0,"4.00","5.00"))))))</f>
        <v>5</v>
      </c>
    </row>
    <row r="88" spans="1:18" ht="374.1">
      <c r="A88" s="62"/>
      <c r="B88" s="10">
        <v>2</v>
      </c>
      <c r="C88" s="11" t="s">
        <v>112</v>
      </c>
      <c r="D88" s="11" t="s">
        <v>124</v>
      </c>
      <c r="E88" s="22"/>
      <c r="F88" s="11" t="s">
        <v>122</v>
      </c>
      <c r="G88" s="11" t="s">
        <v>123</v>
      </c>
      <c r="H88" s="22"/>
      <c r="I88" s="64"/>
      <c r="J88" s="66"/>
      <c r="K88" s="22"/>
      <c r="L88" s="55"/>
      <c r="M88" s="55"/>
      <c r="N88" s="58"/>
      <c r="O88" s="56"/>
      <c r="P88" s="55"/>
      <c r="Q88" s="58"/>
      <c r="R88" s="60"/>
    </row>
    <row r="89" spans="1:18">
      <c r="D89" s="19" t="s">
        <v>125</v>
      </c>
      <c r="E89" s="10">
        <f>COUNTIF(E87:E88,1)+COUNTIF(E87:E88,"-")</f>
        <v>0</v>
      </c>
      <c r="G89" s="19" t="s">
        <v>125</v>
      </c>
      <c r="H89" s="10">
        <f>COUNTIF(H87:H88,1)+COUNTIF(H87:H88,"-")</f>
        <v>0</v>
      </c>
      <c r="J89" s="19" t="s">
        <v>125</v>
      </c>
      <c r="K89" s="10">
        <f>COUNTIF(K87:K88,1)+COUNTIF(K87:K88,"-")</f>
        <v>0</v>
      </c>
      <c r="M89" s="19" t="s">
        <v>125</v>
      </c>
      <c r="N89" s="10">
        <f>COUNTIF(N87:N88,1)+COUNTIF(N87:N88,"-")</f>
        <v>0</v>
      </c>
      <c r="P89" s="19" t="s">
        <v>125</v>
      </c>
      <c r="Q89" s="10">
        <f>COUNTIF(Q87:Q88,1)+COUNTIF(Q87:Q88,"-")</f>
        <v>0</v>
      </c>
    </row>
    <row r="90" spans="1:18">
      <c r="D90" s="20" t="s">
        <v>126</v>
      </c>
      <c r="E90" s="21">
        <f>COUNTIF(E87:E88,0)</f>
        <v>0</v>
      </c>
      <c r="G90" s="20" t="s">
        <v>126</v>
      </c>
      <c r="H90" s="21">
        <f>COUNTIF(H87:H88,0)</f>
        <v>0</v>
      </c>
      <c r="J90" s="20" t="s">
        <v>126</v>
      </c>
      <c r="K90" s="21">
        <f>COUNTIF(K87:K88,0)</f>
        <v>0</v>
      </c>
      <c r="M90" s="20" t="s">
        <v>126</v>
      </c>
      <c r="N90" s="21">
        <f>COUNTIF(N87:N88,0)</f>
        <v>0</v>
      </c>
      <c r="P90" s="20" t="s">
        <v>126</v>
      </c>
      <c r="Q90" s="21">
        <f>COUNTIF(Q87:Q88,0)</f>
        <v>0</v>
      </c>
    </row>
    <row r="92" spans="1:18" ht="19.5" customHeight="1">
      <c r="C92" s="61" t="s">
        <v>130</v>
      </c>
      <c r="D92" s="61"/>
      <c r="E92" s="61"/>
      <c r="F92" s="61"/>
      <c r="G92" s="25"/>
    </row>
    <row r="93" spans="1:18" ht="19.5" customHeight="1">
      <c r="C93" s="61"/>
      <c r="D93" s="61"/>
      <c r="E93" s="61"/>
      <c r="F93" s="61"/>
      <c r="G93" s="25"/>
    </row>
    <row r="94" spans="1:18" ht="19.5" customHeight="1">
      <c r="C94" s="46">
        <v>1</v>
      </c>
      <c r="D94" s="47" t="s">
        <v>145</v>
      </c>
      <c r="E94" s="48"/>
      <c r="F94" s="48"/>
      <c r="G94" s="48"/>
      <c r="H94" s="48"/>
      <c r="I94" s="48"/>
      <c r="J94" s="48"/>
      <c r="K94" s="48"/>
      <c r="L94" s="48"/>
      <c r="M94" s="49"/>
      <c r="P94" s="29" t="s">
        <v>139</v>
      </c>
      <c r="Q94" s="28" t="s">
        <v>144</v>
      </c>
      <c r="R94" s="27">
        <f>$R$4</f>
        <v>5</v>
      </c>
    </row>
    <row r="95" spans="1:18" ht="21" customHeight="1">
      <c r="C95" s="46"/>
      <c r="D95" s="50"/>
      <c r="E95" s="51"/>
      <c r="F95" s="51"/>
      <c r="G95" s="51"/>
      <c r="H95" s="51"/>
      <c r="I95" s="51"/>
      <c r="J95" s="51"/>
      <c r="K95" s="51"/>
      <c r="L95" s="51"/>
      <c r="M95" s="52"/>
      <c r="P95" s="29" t="s">
        <v>140</v>
      </c>
      <c r="Q95" s="28" t="s">
        <v>144</v>
      </c>
      <c r="R95" s="27">
        <f>$R$15</f>
        <v>5</v>
      </c>
    </row>
    <row r="96" spans="1:18" ht="19.5" customHeight="1">
      <c r="C96" s="46">
        <v>2</v>
      </c>
      <c r="D96" s="47" t="s">
        <v>146</v>
      </c>
      <c r="E96" s="48"/>
      <c r="F96" s="48"/>
      <c r="G96" s="48"/>
      <c r="H96" s="48"/>
      <c r="I96" s="48"/>
      <c r="J96" s="48"/>
      <c r="K96" s="48"/>
      <c r="L96" s="48"/>
      <c r="M96" s="49"/>
      <c r="P96" s="29" t="s">
        <v>141</v>
      </c>
      <c r="Q96" s="28" t="s">
        <v>144</v>
      </c>
      <c r="R96" s="27">
        <f>$R$36</f>
        <v>5</v>
      </c>
    </row>
    <row r="97" spans="3:18" ht="19.5" customHeight="1">
      <c r="C97" s="46"/>
      <c r="D97" s="50"/>
      <c r="E97" s="51"/>
      <c r="F97" s="51"/>
      <c r="G97" s="51"/>
      <c r="H97" s="51"/>
      <c r="I97" s="51"/>
      <c r="J97" s="51"/>
      <c r="K97" s="51"/>
      <c r="L97" s="51"/>
      <c r="M97" s="52"/>
      <c r="P97" s="29" t="s">
        <v>142</v>
      </c>
      <c r="Q97" s="28" t="s">
        <v>144</v>
      </c>
      <c r="R97" s="27">
        <f>$R$51</f>
        <v>5</v>
      </c>
    </row>
    <row r="98" spans="3:18" ht="19.5" customHeight="1">
      <c r="C98" s="46">
        <v>3</v>
      </c>
      <c r="D98" s="47" t="s">
        <v>147</v>
      </c>
      <c r="E98" s="48"/>
      <c r="F98" s="48"/>
      <c r="G98" s="48"/>
      <c r="H98" s="48"/>
      <c r="I98" s="48"/>
      <c r="J98" s="48"/>
      <c r="K98" s="48"/>
      <c r="L98" s="48"/>
      <c r="M98" s="49"/>
      <c r="P98" s="29" t="s">
        <v>143</v>
      </c>
      <c r="Q98" s="28" t="s">
        <v>144</v>
      </c>
      <c r="R98" s="27">
        <f>$R$87</f>
        <v>5</v>
      </c>
    </row>
    <row r="99" spans="3:18" ht="19.5" customHeight="1">
      <c r="C99" s="46"/>
      <c r="D99" s="50"/>
      <c r="E99" s="51"/>
      <c r="F99" s="51"/>
      <c r="G99" s="51"/>
      <c r="H99" s="51"/>
      <c r="I99" s="51"/>
      <c r="J99" s="51"/>
      <c r="K99" s="51"/>
      <c r="L99" s="51"/>
      <c r="M99" s="52"/>
    </row>
    <row r="100" spans="3:18" ht="19.5" customHeight="1">
      <c r="C100" s="46">
        <v>4</v>
      </c>
      <c r="D100" s="47" t="s">
        <v>148</v>
      </c>
      <c r="E100" s="48"/>
      <c r="F100" s="48"/>
      <c r="G100" s="48"/>
      <c r="H100" s="48"/>
      <c r="I100" s="48"/>
      <c r="J100" s="48"/>
      <c r="K100" s="48"/>
      <c r="L100" s="48"/>
      <c r="M100" s="49"/>
      <c r="P100" s="43" t="s">
        <v>133</v>
      </c>
      <c r="Q100" s="30"/>
      <c r="R100" s="45">
        <f>MIN($R$4,$R$15,$R$36,$R$51,$R$87)</f>
        <v>5</v>
      </c>
    </row>
    <row r="101" spans="3:18" ht="19.5" customHeight="1">
      <c r="C101" s="46"/>
      <c r="D101" s="50"/>
      <c r="E101" s="51"/>
      <c r="F101" s="51"/>
      <c r="G101" s="51"/>
      <c r="H101" s="51"/>
      <c r="I101" s="51"/>
      <c r="J101" s="51"/>
      <c r="K101" s="51"/>
      <c r="L101" s="51"/>
      <c r="M101" s="52"/>
      <c r="P101" s="44"/>
      <c r="Q101" s="30"/>
      <c r="R101" s="45"/>
    </row>
    <row r="102" spans="3:18" ht="19.5" customHeight="1">
      <c r="C102" s="46">
        <v>5</v>
      </c>
      <c r="D102" s="47" t="s">
        <v>149</v>
      </c>
      <c r="E102" s="48"/>
      <c r="F102" s="48"/>
      <c r="G102" s="48"/>
      <c r="H102" s="48"/>
      <c r="I102" s="48"/>
      <c r="J102" s="48"/>
      <c r="K102" s="48"/>
      <c r="L102" s="48"/>
      <c r="M102" s="49"/>
      <c r="P102" s="53" t="s">
        <v>134</v>
      </c>
      <c r="Q102" s="31"/>
      <c r="R102" s="45">
        <f>AVERAGE($R$4,$R$15,$R$36,$R$51,$R$87)</f>
        <v>5</v>
      </c>
    </row>
    <row r="103" spans="3:18" ht="19.5" customHeight="1">
      <c r="C103" s="46"/>
      <c r="D103" s="50"/>
      <c r="E103" s="51"/>
      <c r="F103" s="51"/>
      <c r="G103" s="51"/>
      <c r="H103" s="51"/>
      <c r="I103" s="51"/>
      <c r="J103" s="51"/>
      <c r="K103" s="51"/>
      <c r="L103" s="51"/>
      <c r="M103" s="52"/>
      <c r="P103" s="54"/>
      <c r="Q103" s="26"/>
      <c r="R103" s="45"/>
    </row>
    <row r="104" spans="3:18">
      <c r="E104" s="13"/>
    </row>
  </sheetData>
  <mergeCells count="82">
    <mergeCell ref="C100:C101"/>
    <mergeCell ref="C102:C103"/>
    <mergeCell ref="P102:P103"/>
    <mergeCell ref="R102:R103"/>
    <mergeCell ref="P100:P101"/>
    <mergeCell ref="R100:R101"/>
    <mergeCell ref="D100:M101"/>
    <mergeCell ref="D102:M103"/>
    <mergeCell ref="C94:C95"/>
    <mergeCell ref="C96:C97"/>
    <mergeCell ref="C98:C99"/>
    <mergeCell ref="C92:F93"/>
    <mergeCell ref="D94:M95"/>
    <mergeCell ref="D96:M97"/>
    <mergeCell ref="D98:M99"/>
    <mergeCell ref="A4:A7"/>
    <mergeCell ref="L4:L7"/>
    <mergeCell ref="M4:M7"/>
    <mergeCell ref="N4:N7"/>
    <mergeCell ref="O4:O7"/>
    <mergeCell ref="C2:E2"/>
    <mergeCell ref="F2:H2"/>
    <mergeCell ref="I2:K2"/>
    <mergeCell ref="L2:N2"/>
    <mergeCell ref="O2:Q2"/>
    <mergeCell ref="P4:P7"/>
    <mergeCell ref="Q4:Q7"/>
    <mergeCell ref="C13:E13"/>
    <mergeCell ref="F13:H13"/>
    <mergeCell ref="I13:K13"/>
    <mergeCell ref="L13:N13"/>
    <mergeCell ref="O13:Q13"/>
    <mergeCell ref="A15:A18"/>
    <mergeCell ref="L15:L18"/>
    <mergeCell ref="M15:M18"/>
    <mergeCell ref="N15:N18"/>
    <mergeCell ref="O15:O18"/>
    <mergeCell ref="Q15:Q18"/>
    <mergeCell ref="C34:E34"/>
    <mergeCell ref="F34:H34"/>
    <mergeCell ref="I34:K34"/>
    <mergeCell ref="L34:N34"/>
    <mergeCell ref="O34:Q34"/>
    <mergeCell ref="P15:P18"/>
    <mergeCell ref="A36:A39"/>
    <mergeCell ref="L36:L39"/>
    <mergeCell ref="M36:M39"/>
    <mergeCell ref="N36:N39"/>
    <mergeCell ref="O36:O39"/>
    <mergeCell ref="Q36:Q39"/>
    <mergeCell ref="C49:E49"/>
    <mergeCell ref="F49:H49"/>
    <mergeCell ref="I49:K49"/>
    <mergeCell ref="L49:N49"/>
    <mergeCell ref="O49:Q49"/>
    <mergeCell ref="P36:P39"/>
    <mergeCell ref="A51:A52"/>
    <mergeCell ref="L51:L52"/>
    <mergeCell ref="M51:M52"/>
    <mergeCell ref="N51:N52"/>
    <mergeCell ref="O51:O52"/>
    <mergeCell ref="N87:N88"/>
    <mergeCell ref="Q51:Q52"/>
    <mergeCell ref="C85:E85"/>
    <mergeCell ref="F85:H85"/>
    <mergeCell ref="I85:K85"/>
    <mergeCell ref="L85:N85"/>
    <mergeCell ref="O85:Q85"/>
    <mergeCell ref="P51:P52"/>
    <mergeCell ref="O87:O88"/>
    <mergeCell ref="P87:P88"/>
    <mergeCell ref="Q87:Q88"/>
    <mergeCell ref="A87:A88"/>
    <mergeCell ref="I87:I88"/>
    <mergeCell ref="J87:J88"/>
    <mergeCell ref="L87:L88"/>
    <mergeCell ref="M87:M88"/>
    <mergeCell ref="R4:R7"/>
    <mergeCell ref="R15:R18"/>
    <mergeCell ref="R36:R39"/>
    <mergeCell ref="R51:R52"/>
    <mergeCell ref="R87:R88"/>
  </mergeCells>
  <pageMargins left="0" right="0" top="0" bottom="0" header="0" footer="0"/>
  <pageSetup paperSize="9" scale="40" fitToHeight="0" orientation="landscape" r:id="rId1"/>
  <rowBreaks count="1" manualBreakCount="1">
    <brk id="43" max="17" man="1"/>
  </row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Value!$A$4:$A$6</xm:f>
          </x14:formula1>
          <xm:sqref>E4:E7 H4:H7 K4:K7 N4:N7 Q4:Q7 E15:E18 H15:H18 K15:K18 N15:N18 Q15:Q18 E36:E39 H36:H39 K36:K39 N36:N39 Q36:Q39 E51:E52 H51:H52 K51:K52 N51:N52 Q51:Q52 E87:E88 H87:H88 K87:K88 N87:N88 Q87:Q88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0"/>
  <sheetViews>
    <sheetView zoomScale="115" zoomScaleNormal="115" workbookViewId="0">
      <selection activeCell="G13" sqref="G13"/>
    </sheetView>
  </sheetViews>
  <sheetFormatPr defaultColWidth="8.75" defaultRowHeight="14.1"/>
  <cols>
    <col min="1" max="1" width="3.375" style="23" bestFit="1" customWidth="1"/>
    <col min="2" max="2" width="8.375" style="23" bestFit="1" customWidth="1"/>
    <col min="3" max="6" width="15.5" style="23" customWidth="1"/>
    <col min="7" max="7" width="36.25" style="23" customWidth="1"/>
    <col min="8" max="8" width="8.625" style="23" customWidth="1"/>
    <col min="9" max="16384" width="8.75" style="23"/>
  </cols>
  <sheetData>
    <row r="2" spans="1:10" ht="24.7" customHeight="1">
      <c r="C2" s="78" t="s">
        <v>131</v>
      </c>
      <c r="D2" s="78"/>
      <c r="E2" s="78"/>
      <c r="F2" s="78"/>
      <c r="G2" s="78"/>
      <c r="H2" s="80" t="s">
        <v>157</v>
      </c>
      <c r="I2" s="81" t="s">
        <v>156</v>
      </c>
      <c r="J2" s="83" t="s">
        <v>155</v>
      </c>
    </row>
    <row r="3" spans="1:10" ht="24.7" customHeight="1">
      <c r="B3" s="36"/>
      <c r="C3" s="32" t="s">
        <v>135</v>
      </c>
      <c r="D3" s="33" t="s">
        <v>136</v>
      </c>
      <c r="E3" s="33" t="s">
        <v>137</v>
      </c>
      <c r="F3" s="33" t="s">
        <v>138</v>
      </c>
      <c r="G3" s="34" t="s">
        <v>154</v>
      </c>
      <c r="H3" s="80"/>
      <c r="I3" s="81"/>
      <c r="J3" s="83"/>
    </row>
    <row r="4" spans="1:10" ht="23.95" customHeight="1">
      <c r="A4" s="77" t="s">
        <v>152</v>
      </c>
      <c r="B4" s="35" t="s">
        <v>6</v>
      </c>
      <c r="C4" s="38">
        <v>3</v>
      </c>
      <c r="D4" s="38">
        <v>3</v>
      </c>
      <c r="E4" s="38">
        <v>3</v>
      </c>
      <c r="F4" s="38">
        <v>3</v>
      </c>
      <c r="G4" s="39"/>
      <c r="H4" s="24">
        <f>MIN(C4:G4)</f>
        <v>3</v>
      </c>
      <c r="I4" s="82">
        <f>MIN(H4:H8)</f>
        <v>2</v>
      </c>
      <c r="J4" s="82">
        <f>AVERAGE(H4:H8)</f>
        <v>2.6</v>
      </c>
    </row>
    <row r="5" spans="1:10" ht="23.95" customHeight="1">
      <c r="A5" s="77"/>
      <c r="B5" s="35" t="s">
        <v>7</v>
      </c>
      <c r="C5" s="38">
        <v>2</v>
      </c>
      <c r="D5" s="38">
        <v>3</v>
      </c>
      <c r="E5" s="38">
        <v>3</v>
      </c>
      <c r="F5" s="38">
        <v>3</v>
      </c>
      <c r="G5" s="39"/>
      <c r="H5" s="24">
        <f t="shared" ref="H5:H8" si="0">MIN(C5:G5)</f>
        <v>2</v>
      </c>
      <c r="I5" s="82"/>
      <c r="J5" s="82"/>
    </row>
    <row r="6" spans="1:10" ht="23.95" customHeight="1">
      <c r="A6" s="77"/>
      <c r="B6" s="35" t="s">
        <v>8</v>
      </c>
      <c r="C6" s="38">
        <v>3</v>
      </c>
      <c r="D6" s="38">
        <v>3</v>
      </c>
      <c r="E6" s="38">
        <v>3</v>
      </c>
      <c r="F6" s="38">
        <v>3</v>
      </c>
      <c r="G6" s="39"/>
      <c r="H6" s="24">
        <f t="shared" si="0"/>
        <v>3</v>
      </c>
      <c r="I6" s="82"/>
      <c r="J6" s="82"/>
    </row>
    <row r="7" spans="1:10" ht="23.95" customHeight="1">
      <c r="A7" s="77"/>
      <c r="B7" s="35" t="s">
        <v>9</v>
      </c>
      <c r="C7" s="38">
        <v>3</v>
      </c>
      <c r="D7" s="38">
        <v>3</v>
      </c>
      <c r="E7" s="38">
        <v>3</v>
      </c>
      <c r="F7" s="38">
        <v>3</v>
      </c>
      <c r="G7" s="39"/>
      <c r="H7" s="24">
        <f t="shared" si="0"/>
        <v>3</v>
      </c>
      <c r="I7" s="82"/>
      <c r="J7" s="82"/>
    </row>
    <row r="8" spans="1:10" ht="23.95" customHeight="1">
      <c r="A8" s="77"/>
      <c r="B8" s="35" t="s">
        <v>10</v>
      </c>
      <c r="C8" s="38">
        <v>2</v>
      </c>
      <c r="D8" s="38">
        <v>3</v>
      </c>
      <c r="E8" s="38">
        <v>3</v>
      </c>
      <c r="F8" s="38">
        <v>3</v>
      </c>
      <c r="G8" s="39"/>
      <c r="H8" s="24">
        <f t="shared" si="0"/>
        <v>2</v>
      </c>
      <c r="I8" s="82"/>
      <c r="J8" s="82"/>
    </row>
    <row r="9" spans="1:10" ht="46.6" customHeight="1">
      <c r="A9" s="79" t="s">
        <v>153</v>
      </c>
      <c r="B9" s="24" t="s">
        <v>150</v>
      </c>
      <c r="C9" s="40">
        <v>2</v>
      </c>
      <c r="D9" s="40">
        <v>3</v>
      </c>
      <c r="E9" s="40">
        <v>3</v>
      </c>
      <c r="F9" s="40">
        <v>3</v>
      </c>
      <c r="G9" s="41"/>
      <c r="H9" s="37"/>
    </row>
    <row r="10" spans="1:10" ht="46.6" customHeight="1">
      <c r="A10" s="79"/>
      <c r="B10" s="24" t="s">
        <v>151</v>
      </c>
      <c r="C10" s="40"/>
      <c r="D10" s="40"/>
      <c r="E10" s="41"/>
      <c r="F10" s="40"/>
      <c r="G10" s="41"/>
    </row>
  </sheetData>
  <mergeCells count="8">
    <mergeCell ref="J2:J3"/>
    <mergeCell ref="J4:J8"/>
    <mergeCell ref="A4:A8"/>
    <mergeCell ref="C2:G2"/>
    <mergeCell ref="A9:A10"/>
    <mergeCell ref="H2:H3"/>
    <mergeCell ref="I2:I3"/>
    <mergeCell ref="I4:I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5" sqref="B5"/>
    </sheetView>
  </sheetViews>
  <sheetFormatPr defaultColWidth="8.75" defaultRowHeight="14.1"/>
  <cols>
    <col min="1" max="1" width="8.75" style="16"/>
    <col min="2" max="2" width="10.625" style="16" bestFit="1" customWidth="1"/>
    <col min="3" max="16384" width="8.75" style="16"/>
  </cols>
  <sheetData>
    <row r="3" spans="1:2">
      <c r="A3" s="15" t="s">
        <v>128</v>
      </c>
      <c r="B3" s="15" t="s">
        <v>127</v>
      </c>
    </row>
    <row r="4" spans="1:2">
      <c r="A4" s="17">
        <v>1</v>
      </c>
      <c r="B4" s="17" t="s">
        <v>125</v>
      </c>
    </row>
    <row r="5" spans="1:2">
      <c r="A5" s="17">
        <v>0</v>
      </c>
      <c r="B5" s="17" t="s">
        <v>126</v>
      </c>
    </row>
    <row r="6" spans="1:2">
      <c r="A6" s="18" t="s">
        <v>12</v>
      </c>
      <c r="B6" s="17"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CS YPQD 2026 QC Incoming</vt:lpstr>
      <vt:lpstr>Checksheet YPQD 2026 PROD</vt:lpstr>
      <vt:lpstr>Checksheet YPQD 2026 FORM</vt:lpstr>
      <vt:lpstr>Summary (Final Level)</vt:lpstr>
      <vt:lpstr>Value</vt:lpstr>
      <vt:lpstr>'Checksheet YPQD 2026 FORM'!Print_Area</vt:lpstr>
      <vt:lpstr>'Checksheet YPQD 2026 PROD'!Print_Area</vt:lpstr>
      <vt:lpstr>'CS YPQD 2026 QC Incoming'!Print_Area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Erlangga Yarindra Putra</dc:creator>
  <cp:lastModifiedBy>Mida</cp:lastModifiedBy>
  <cp:lastPrinted>2026-01-19T10:11:45Z</cp:lastPrinted>
  <dcterms:created xsi:type="dcterms:W3CDTF">2025-09-06T04:10:36Z</dcterms:created>
  <dcterms:modified xsi:type="dcterms:W3CDTF">2026-01-27T03:42:49Z</dcterms:modified>
</cp:coreProperties>
</file>